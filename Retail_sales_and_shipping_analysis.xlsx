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арія\Desktop\Excel\"/>
    </mc:Choice>
  </mc:AlternateContent>
  <xr:revisionPtr revIDLastSave="0" documentId="13_ncr:1_{A4869D58-DF92-48F1-B42B-B48F163768C2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The most successful salesperson" sheetId="3" r:id="rId1"/>
    <sheet name="Average check by payment method" sheetId="4" r:id="rId2"/>
    <sheet name="Sales dynamics" sheetId="5" r:id="rId3"/>
    <sheet name="Wholesale and retail customers " sheetId="6" r:id="rId4"/>
    <sheet name="Total price and shipping cost" sheetId="7" r:id="rId5"/>
    <sheet name="Shipping cost distribution" sheetId="8" r:id="rId6"/>
    <sheet name="Delivery time by region" sheetId="9" r:id="rId7"/>
    <sheet name="Rozrahunky" sheetId="2" r:id="rId8"/>
    <sheet name="Data" sheetId="1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2" i="2"/>
  <c r="K2" i="2" a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<sst xmlns="http://schemas.openxmlformats.org/spreadsheetml/2006/main" count="16224" uniqueCount="2961">
  <si>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</si>
  <si>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</si>
  <si>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</si>
  <si>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</si>
  <si>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</si>
  <si>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</si>
  <si>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</si>
  <si>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</si>
  <si>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</si>
  <si>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</si>
  <si>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</si>
  <si>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</si>
  <si>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</si>
  <si>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</si>
  <si>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</si>
  <si>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</si>
  <si>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</si>
  <si>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</si>
  <si>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</si>
  <si>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</si>
  <si>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</si>
  <si>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</si>
  <si>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</si>
  <si>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</si>
  <si>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</si>
  <si>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</si>
  <si>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</si>
  <si>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</si>
  <si>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</si>
  <si>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</si>
  <si>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</si>
  <si>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</si>
  <si>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</si>
  <si>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</si>
  <si>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</si>
  <si>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</si>
  <si>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</si>
  <si>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</si>
  <si>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</si>
  <si>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</si>
  <si>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</si>
  <si>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</si>
  <si>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</si>
  <si>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</si>
  <si>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</si>
  <si>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</si>
  <si>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</si>
  <si>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</si>
  <si>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</si>
  <si>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</si>
  <si>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</si>
  <si>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</si>
  <si>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</si>
  <si>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</si>
  <si>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</si>
  <si>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</si>
  <si>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</si>
  <si>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</si>
  <si>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</si>
  <si>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</si>
  <si>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</si>
  <si>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</si>
  <si>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</si>
  <si>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</si>
  <si>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</si>
  <si>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</si>
  <si>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</si>
  <si>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</si>
  <si>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</si>
  <si>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</si>
  <si>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</si>
  <si>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</si>
  <si>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</si>
  <si>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</si>
  <si>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</si>
  <si>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</si>
  <si>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</si>
  <si>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</si>
  <si>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</si>
  <si>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</si>
  <si>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</si>
  <si>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</si>
  <si>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</si>
  <si>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</si>
  <si>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</si>
  <si>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</si>
  <si>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</si>
  <si>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</si>
  <si>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</si>
  <si>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</si>
  <si>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</si>
  <si>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</si>
  <si>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</si>
  <si>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</si>
  <si>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</si>
  <si>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</si>
  <si>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</si>
  <si>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</si>
  <si>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</si>
  <si>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</si>
  <si>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</si>
  <si>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</si>
  <si>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</si>
  <si>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</si>
  <si>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</si>
  <si>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</si>
  <si>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</si>
  <si>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</si>
  <si>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</si>
  <si>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</si>
  <si>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</si>
  <si>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</si>
  <si>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</si>
  <si>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</si>
  <si>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</si>
  <si>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</si>
  <si>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</si>
  <si>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</si>
  <si>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</si>
  <si>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</si>
  <si>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</si>
  <si>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</si>
  <si>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</si>
  <si>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</si>
  <si>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</si>
  <si>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</si>
  <si>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</si>
  <si>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</si>
  <si>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</si>
  <si>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</si>
  <si>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</si>
  <si>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</si>
  <si>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</si>
  <si>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</si>
  <si>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</si>
  <si>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</si>
  <si>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</si>
  <si>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</si>
  <si>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</si>
  <si>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</si>
  <si>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</si>
  <si>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</si>
  <si>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</si>
  <si>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</si>
  <si>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</si>
  <si>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</si>
  <si>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</si>
  <si>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</si>
  <si>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</si>
  <si>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</si>
  <si>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</si>
  <si>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</si>
  <si>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</si>
  <si>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</si>
  <si>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</si>
  <si>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</si>
  <si>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</si>
  <si>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</si>
  <si>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</si>
  <si>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</si>
  <si>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</si>
  <si>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</si>
  <si>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</si>
  <si>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</si>
  <si>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</si>
  <si>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</si>
  <si>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</si>
  <si>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</si>
  <si>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</si>
  <si>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</si>
  <si>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</si>
  <si>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</si>
  <si>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</si>
  <si>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</si>
  <si>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</si>
  <si>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</si>
  <si>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</si>
  <si>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</si>
  <si>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</si>
  <si>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</si>
  <si>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</si>
  <si>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</si>
  <si>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</si>
  <si>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</si>
  <si>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</si>
  <si>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</si>
  <si>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</si>
  <si>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</si>
  <si>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</si>
  <si>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</si>
  <si>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</si>
  <si>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</si>
  <si>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</si>
  <si>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</si>
  <si>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</si>
  <si>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</si>
  <si>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</si>
  <si>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</si>
  <si>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</si>
  <si>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</si>
  <si>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</si>
  <si>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</si>
  <si>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</si>
  <si>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</si>
  <si>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</si>
  <si>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</si>
  <si>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</si>
  <si>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</si>
  <si>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</si>
  <si>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</si>
  <si>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</si>
  <si>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</si>
  <si>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</si>
  <si>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</si>
  <si>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</si>
  <si>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</si>
  <si>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</si>
  <si>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</si>
  <si>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</si>
  <si>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</si>
  <si>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</si>
  <si>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</si>
  <si>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</si>
  <si>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</si>
  <si>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</si>
  <si>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</si>
  <si>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</si>
  <si>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</si>
  <si>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</si>
  <si>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</si>
  <si>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</si>
  <si>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</si>
  <si>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</si>
  <si>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</si>
  <si>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</si>
  <si>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</si>
  <si>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</si>
  <si>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</si>
  <si>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</si>
  <si>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</si>
  <si>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</si>
  <si>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</si>
  <si>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</si>
  <si>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</si>
  <si>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</si>
  <si>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</si>
  <si>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</si>
  <si>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</si>
  <si>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</si>
  <si>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</si>
  <si>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</si>
  <si>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</si>
  <si>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</si>
  <si>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</si>
  <si>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</si>
  <si>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</si>
  <si>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</si>
  <si>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</si>
  <si>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</si>
  <si>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</si>
  <si>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</si>
  <si>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</si>
  <si>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</si>
  <si>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</si>
  <si>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</si>
  <si>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</si>
  <si>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</si>
  <si>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</si>
  <si>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</si>
  <si>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</si>
  <si>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</si>
  <si>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</si>
  <si>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</si>
  <si>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</si>
  <si>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</si>
  <si>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</si>
  <si>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</si>
  <si>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</si>
  <si>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</si>
  <si>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</si>
  <si>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</si>
  <si>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</si>
  <si>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</si>
  <si>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</si>
  <si>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</si>
  <si>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</si>
  <si>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</si>
  <si>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</si>
  <si>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</si>
  <si>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</si>
  <si>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</si>
  <si>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</si>
  <si>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</si>
  <si>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</si>
  <si>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</si>
  <si>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</si>
  <si>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</si>
  <si>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</si>
  <si>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</si>
  <si>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</si>
  <si>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</si>
  <si>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</si>
  <si>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</si>
  <si>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</si>
  <si>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</si>
  <si>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</si>
  <si>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</si>
  <si>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</si>
  <si>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</si>
  <si>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</si>
  <si>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</si>
  <si>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</si>
  <si>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</si>
  <si>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</si>
  <si>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</si>
  <si>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</si>
  <si>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</si>
  <si>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</si>
  <si>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</si>
  <si>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</si>
  <si>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</si>
  <si>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</si>
  <si>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</si>
  <si>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</si>
  <si>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</si>
  <si>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</si>
  <si>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</si>
  <si>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</si>
  <si>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</si>
  <si>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</si>
  <si>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</si>
  <si>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</si>
  <si>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</si>
  <si>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</si>
  <si>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</si>
  <si>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</si>
  <si>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</si>
  <si>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</si>
  <si>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</si>
  <si>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</si>
  <si>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</si>
  <si>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</si>
  <si>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</si>
  <si>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</si>
  <si>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</si>
  <si>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</si>
  <si>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</si>
  <si>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</si>
  <si>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</si>
  <si>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</si>
  <si>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</si>
  <si>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</si>
  <si>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</si>
  <si>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</si>
  <si>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</si>
  <si>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</si>
  <si>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</si>
  <si>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</si>
  <si>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</si>
  <si>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</si>
  <si>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</si>
  <si>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</si>
  <si>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</si>
  <si>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</si>
  <si>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</si>
  <si>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</si>
  <si>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</si>
  <si>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</si>
  <si>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</si>
  <si>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</si>
  <si>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</si>
  <si>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</si>
  <si>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</si>
  <si>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</si>
  <si>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</si>
  <si>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</si>
  <si>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</si>
  <si>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</si>
  <si>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</si>
  <si>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</si>
  <si>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</si>
  <si>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</si>
  <si>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</si>
  <si>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</si>
  <si>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</si>
  <si>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</si>
  <si>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</si>
  <si>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</si>
  <si>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</si>
  <si>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</si>
  <si>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</si>
  <si>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</si>
  <si>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</si>
  <si>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</si>
  <si>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</si>
  <si>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</si>
  <si>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</si>
  <si>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</si>
  <si>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</si>
  <si>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</si>
  <si>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</si>
  <si>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</si>
  <si>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</si>
  <si>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</si>
  <si>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</si>
  <si>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</si>
  <si>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</si>
  <si>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</si>
  <si>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</si>
  <si>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</si>
  <si>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</si>
  <si>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</si>
  <si>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</si>
  <si>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</si>
  <si>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</si>
  <si>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</si>
  <si>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</si>
  <si>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</si>
  <si>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</si>
  <si>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</si>
  <si>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</si>
  <si>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</si>
  <si>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</si>
  <si>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</si>
  <si>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</si>
  <si>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</si>
  <si>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</si>
  <si>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</si>
  <si>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</si>
  <si>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</si>
  <si>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</si>
  <si>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</si>
  <si>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</si>
  <si>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</si>
  <si>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</si>
  <si>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</si>
  <si>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</si>
  <si>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</si>
  <si>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</si>
  <si>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</si>
  <si>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</si>
  <si>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</si>
  <si>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</si>
  <si>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</si>
  <si>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</si>
  <si>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</si>
  <si>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</si>
  <si>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</si>
  <si>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</si>
  <si>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</si>
  <si>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</si>
  <si>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</si>
  <si>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</si>
  <si>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</si>
  <si>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</si>
  <si>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</si>
  <si>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</si>
  <si>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</si>
  <si>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</si>
  <si>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</si>
  <si>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</si>
  <si>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</si>
  <si>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</si>
  <si>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</si>
  <si>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</si>
  <si>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</si>
  <si>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</si>
  <si>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</si>
  <si>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</si>
  <si>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</si>
  <si>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</si>
  <si>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</si>
  <si>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</si>
  <si>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</si>
  <si>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</si>
  <si>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</si>
  <si>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</si>
  <si>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</si>
  <si>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</si>
  <si>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</si>
  <si>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</si>
  <si>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</si>
  <si>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</si>
  <si>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</si>
  <si>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</si>
  <si>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</si>
  <si>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</si>
  <si>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</si>
  <si>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</si>
  <si>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</si>
  <si>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</si>
  <si>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</si>
  <si>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</si>
  <si>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</si>
  <si>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</si>
  <si>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</si>
  <si>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</si>
  <si>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</si>
  <si>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</si>
  <si>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</si>
  <si>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</si>
  <si>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</si>
  <si>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</si>
  <si>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</si>
  <si>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</si>
  <si>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</si>
  <si>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</si>
  <si>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</si>
  <si>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</si>
  <si>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</si>
  <si>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</si>
  <si>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</si>
  <si>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</si>
  <si>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</si>
  <si>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</si>
  <si>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</si>
  <si>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</si>
  <si>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</si>
  <si>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</si>
  <si>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</si>
  <si>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</si>
  <si>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</si>
  <si>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</si>
  <si>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</si>
  <si>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</si>
  <si>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</si>
  <si>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</si>
  <si>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</si>
  <si>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</si>
  <si>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</si>
  <si>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</si>
  <si>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</si>
  <si>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</si>
  <si>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</si>
  <si>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</si>
  <si>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</si>
  <si>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</si>
  <si>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</si>
  <si>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</si>
  <si>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</si>
  <si>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</si>
  <si>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</si>
  <si>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</si>
  <si>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</si>
  <si>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</si>
  <si>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</si>
  <si>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</si>
  <si>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</si>
  <si>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</si>
  <si>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</si>
  <si>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</si>
  <si>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</si>
  <si>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</si>
  <si>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</si>
  <si>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</si>
  <si>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</si>
  <si>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</si>
  <si>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</si>
  <si>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</si>
  <si>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</si>
  <si>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</si>
  <si>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</si>
  <si>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</si>
  <si>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</si>
  <si>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</si>
  <si>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</si>
  <si>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</si>
  <si>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</si>
  <si>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</si>
  <si>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</si>
  <si>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</si>
  <si>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</si>
  <si>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</si>
  <si>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</si>
  <si>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</si>
  <si>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</si>
  <si>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</si>
  <si>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</si>
  <si>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</si>
  <si>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</si>
  <si>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</si>
  <si>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</si>
  <si>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</si>
  <si>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</si>
  <si>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</si>
  <si>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</si>
  <si>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</si>
  <si>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</si>
  <si>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</si>
  <si>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</si>
  <si>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</si>
  <si>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</si>
  <si>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</si>
  <si>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</si>
  <si>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</si>
  <si>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</si>
  <si>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</si>
  <si>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</si>
  <si>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</si>
  <si>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</si>
  <si>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</si>
  <si>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</si>
  <si>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</si>
  <si>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</si>
  <si>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</si>
  <si>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</si>
  <si>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</si>
  <si>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</si>
  <si>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</si>
  <si>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</si>
  <si>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</si>
  <si>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</si>
  <si>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</si>
  <si>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</si>
  <si>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</si>
  <si>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</si>
  <si>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</si>
  <si>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</si>
  <si>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</si>
  <si>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</si>
  <si>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</si>
  <si>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</si>
  <si>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</si>
  <si>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</si>
  <si>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</si>
  <si>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</si>
  <si>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</si>
  <si>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</si>
  <si>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</si>
  <si>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</si>
  <si>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</si>
  <si>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</si>
  <si>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</si>
  <si>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</si>
  <si>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</si>
  <si>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</si>
  <si>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</si>
  <si>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</si>
  <si>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</si>
  <si>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</si>
  <si>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</si>
  <si>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</si>
  <si>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</si>
  <si>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</si>
  <si>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</si>
  <si>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</si>
  <si>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</si>
  <si>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</si>
  <si>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</si>
  <si>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</si>
  <si>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</si>
  <si>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</si>
  <si>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</si>
  <si>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</si>
  <si>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</si>
  <si>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</si>
  <si>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</si>
  <si>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</si>
  <si>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</si>
  <si>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</si>
  <si>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</si>
  <si>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</si>
  <si>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</si>
  <si>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</si>
  <si>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</si>
  <si>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</si>
  <si>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</si>
  <si>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</si>
  <si>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</si>
  <si>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</si>
  <si>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</si>
  <si>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</si>
  <si>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</si>
  <si>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</si>
  <si>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</si>
  <si>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</si>
  <si>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</si>
  <si>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</si>
  <si>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</si>
  <si>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</si>
  <si>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</si>
  <si>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</si>
  <si>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</si>
  <si>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</si>
  <si>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</si>
  <si>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</si>
  <si>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</si>
  <si>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</si>
  <si>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</si>
  <si>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</si>
  <si>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</si>
  <si>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</si>
  <si>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</si>
  <si>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</si>
  <si>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</si>
  <si>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</si>
  <si>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</si>
  <si>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</si>
  <si>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</si>
  <si>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</si>
  <si>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</si>
  <si>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</si>
  <si>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</si>
  <si>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</si>
  <si>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</si>
  <si>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</si>
  <si>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</si>
  <si>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</si>
  <si>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</si>
  <si>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</si>
  <si>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</si>
  <si>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</si>
  <si>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</si>
  <si>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</si>
  <si>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</si>
  <si>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</si>
  <si>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</si>
  <si>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</si>
  <si>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</si>
  <si>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</si>
  <si>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</si>
  <si>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</si>
  <si>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</si>
  <si>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</si>
  <si>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</si>
  <si>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</si>
  <si>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</si>
  <si>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</si>
  <si>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</si>
  <si>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</si>
  <si>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</si>
  <si>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</si>
  <si>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</si>
  <si>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</si>
  <si>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</si>
  <si>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</si>
  <si>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</si>
  <si>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</si>
  <si>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</si>
  <si>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</si>
  <si>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</si>
  <si>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</si>
  <si>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</si>
  <si>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</si>
  <si>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</si>
  <si>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</si>
  <si>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</si>
  <si>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</si>
  <si>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</si>
  <si>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</si>
  <si>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</si>
  <si>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</si>
  <si>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</si>
  <si>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</si>
  <si>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</si>
  <si>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</si>
  <si>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</si>
  <si>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</si>
  <si>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</si>
  <si>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</si>
  <si>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</si>
  <si>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</si>
  <si>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</si>
  <si>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</si>
  <si>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</si>
  <si>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</si>
  <si>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</si>
  <si>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</si>
  <si>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</si>
  <si>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</si>
  <si>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</si>
  <si>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</si>
  <si>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</si>
  <si>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</si>
  <si>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</si>
  <si>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</si>
  <si>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</si>
  <si>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</si>
  <si>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</si>
  <si>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</si>
  <si>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</si>
  <si>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</si>
  <si>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</si>
  <si>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</si>
  <si>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</si>
  <si>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</si>
  <si>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</si>
  <si>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</si>
  <si>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</si>
  <si>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</si>
  <si>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</si>
  <si>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</si>
  <si>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</si>
  <si>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</si>
  <si>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</si>
  <si>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</si>
  <si>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</si>
  <si>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</si>
  <si>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</si>
  <si>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</si>
  <si>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</si>
  <si>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</si>
  <si>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</si>
  <si>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</si>
  <si>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</si>
  <si>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</si>
  <si>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</si>
  <si>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</si>
  <si>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</si>
  <si>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</si>
  <si>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</si>
  <si>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</si>
  <si>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</si>
  <si>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</si>
  <si>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</si>
  <si>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</si>
  <si>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</si>
  <si>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</si>
  <si>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</si>
  <si>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</si>
  <si>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</si>
  <si>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</si>
  <si>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</si>
  <si>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</si>
  <si>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</si>
  <si>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</si>
  <si>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</si>
  <si>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</si>
  <si>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</si>
  <si>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</si>
  <si>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</si>
  <si>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</si>
  <si>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</si>
  <si>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</si>
  <si>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</si>
  <si>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</si>
  <si>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</si>
  <si>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</si>
  <si>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</si>
  <si>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</si>
  <si>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</si>
  <si>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</si>
  <si>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</si>
  <si>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</si>
  <si>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</si>
  <si>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</si>
  <si>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</si>
  <si>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</si>
  <si>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</si>
  <si>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</si>
  <si>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</si>
  <si>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</si>
  <si>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</si>
  <si>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</si>
  <si>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</si>
  <si>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</si>
  <si>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</si>
  <si>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</si>
  <si>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</si>
  <si>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</si>
  <si>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</si>
  <si>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</si>
  <si>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</si>
  <si>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</si>
  <si>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</si>
  <si>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</si>
  <si>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</si>
  <si>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</si>
  <si>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</si>
  <si>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</si>
  <si>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</si>
  <si>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</si>
  <si>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</si>
  <si>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</si>
  <si>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</si>
  <si>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</si>
  <si>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</si>
  <si>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</si>
  <si>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</si>
  <si>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</si>
  <si>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</si>
  <si>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</si>
  <si>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</si>
  <si>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</si>
  <si>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</si>
  <si>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</si>
  <si>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</si>
  <si>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</si>
  <si>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</si>
  <si>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</si>
  <si>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</si>
  <si>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</si>
  <si>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</si>
  <si>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</si>
  <si>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</si>
  <si>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</si>
  <si>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</si>
  <si>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</si>
  <si>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</si>
  <si>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</si>
  <si>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</si>
  <si>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</si>
  <si>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</si>
  <si>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</si>
  <si>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</si>
  <si>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</si>
  <si>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</si>
  <si>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</si>
  <si>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</si>
  <si>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</si>
  <si>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</si>
  <si>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</si>
  <si>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</si>
  <si>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</si>
  <si>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</si>
  <si>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</si>
  <si>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</si>
  <si>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</si>
  <si>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</si>
  <si>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</si>
  <si>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</si>
  <si>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</si>
  <si>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</si>
  <si>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</si>
  <si>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</si>
  <si>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</si>
  <si>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</si>
  <si>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</si>
  <si>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</si>
  <si>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</si>
  <si>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</si>
  <si>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</si>
  <si>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</si>
  <si>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</si>
  <si>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</si>
  <si>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</si>
  <si>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</si>
  <si>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</si>
  <si>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</si>
  <si>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</si>
  <si>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</si>
  <si>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</si>
  <si>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</si>
  <si>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</si>
  <si>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</si>
  <si>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</si>
  <si>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</si>
  <si>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</si>
  <si>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</si>
  <si>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</si>
  <si>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</si>
  <si>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</si>
  <si>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</si>
  <si>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</si>
  <si>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</si>
  <si>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</si>
  <si>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</si>
  <si>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</si>
  <si>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</si>
  <si>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</si>
  <si>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</si>
  <si>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</si>
  <si>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</si>
  <si>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</si>
  <si>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</si>
  <si>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</si>
  <si>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</si>
  <si>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</si>
  <si>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</si>
  <si>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</si>
  <si>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</si>
  <si>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</si>
  <si>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</si>
  <si>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</si>
  <si>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</si>
  <si>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</si>
  <si>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</si>
  <si>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</si>
  <si>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</si>
  <si>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</si>
  <si>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</si>
  <si>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</si>
  <si>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</si>
  <si>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</si>
  <si>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</si>
  <si>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</si>
  <si>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</si>
  <si>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</si>
  <si>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</si>
  <si>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</si>
  <si>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</si>
  <si>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</si>
  <si>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</si>
  <si>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</si>
  <si>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</si>
  <si>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</si>
  <si>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</si>
  <si>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</si>
  <si>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</si>
  <si>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</si>
  <si>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</si>
  <si>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</si>
  <si>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</si>
  <si>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</si>
  <si>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</si>
  <si>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</si>
  <si>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</si>
  <si>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</si>
  <si>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</si>
  <si>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</si>
  <si>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</si>
  <si>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</si>
  <si>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</si>
  <si>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</si>
  <si>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</si>
  <si>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</si>
  <si>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</si>
  <si>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</si>
  <si>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</si>
  <si>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</si>
  <si>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</si>
  <si>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</si>
  <si>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</si>
  <si>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</si>
  <si>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</si>
  <si>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</si>
  <si>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</si>
  <si>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</si>
  <si>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</si>
  <si>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</si>
  <si>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</si>
  <si>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</si>
  <si>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</si>
  <si>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</si>
  <si>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</si>
  <si>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</si>
  <si>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</si>
  <si>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</si>
  <si>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</si>
  <si>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</si>
  <si>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</si>
  <si>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</si>
  <si>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</si>
  <si>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</si>
  <si>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</si>
  <si>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</si>
  <si>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</si>
  <si>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</si>
  <si>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</si>
  <si>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</si>
  <si>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</si>
  <si>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</si>
  <si>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</si>
  <si>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</si>
  <si>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</si>
  <si>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</si>
  <si>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</si>
  <si>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</si>
  <si>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</si>
  <si>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</si>
  <si>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</si>
  <si>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</si>
  <si>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</si>
  <si>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</si>
  <si>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</si>
  <si>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</si>
  <si>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</si>
  <si>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</si>
  <si>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</si>
  <si>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</si>
  <si>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</si>
  <si>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</si>
  <si>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</si>
  <si>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</si>
  <si>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</si>
  <si>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</si>
  <si>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</si>
  <si>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</si>
  <si>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</si>
  <si>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</si>
  <si>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</si>
  <si>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</si>
  <si>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</si>
  <si>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</si>
  <si>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</si>
  <si>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</si>
  <si>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</si>
  <si>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</si>
  <si>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</si>
  <si>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</si>
  <si>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</si>
  <si>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</si>
  <si>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</si>
  <si>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</si>
  <si>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</si>
  <si>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</si>
  <si>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</si>
  <si>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</si>
  <si>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</si>
  <si>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</si>
  <si>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</si>
  <si>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</si>
  <si>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</si>
  <si>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</si>
  <si>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</si>
  <si>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</si>
  <si>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</si>
  <si>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</si>
  <si>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</si>
  <si>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</si>
  <si>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</si>
  <si>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</si>
  <si>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</si>
  <si>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</si>
  <si>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</si>
  <si>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</si>
  <si>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</si>
  <si>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</si>
  <si>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</si>
  <si>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</si>
  <si>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</si>
  <si>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</si>
  <si>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</si>
  <si>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</si>
  <si>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</si>
  <si>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</si>
  <si>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</si>
  <si>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</si>
  <si>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</si>
  <si>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</si>
  <si>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</si>
  <si>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</si>
  <si>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</si>
  <si>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</si>
  <si>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</si>
  <si>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</si>
  <si>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</si>
  <si>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</si>
  <si>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</si>
  <si>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</si>
  <si>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</si>
  <si>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</si>
  <si>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</si>
  <si>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</si>
  <si>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</si>
  <si>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</si>
  <si>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</si>
  <si>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</si>
  <si>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</si>
  <si>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</si>
  <si>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</si>
  <si>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</si>
  <si>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</si>
  <si>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</si>
  <si>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</si>
  <si>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</si>
  <si>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</si>
  <si>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</si>
  <si>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</si>
  <si>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</si>
  <si>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</si>
  <si>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</si>
  <si>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</si>
  <si>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</si>
  <si>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</si>
  <si>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</si>
  <si>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</si>
  <si>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</si>
  <si>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</si>
  <si>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</si>
  <si>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</si>
  <si>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</si>
  <si>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</si>
  <si>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</si>
  <si>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</si>
  <si>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</si>
  <si>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</si>
  <si>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</si>
  <si>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</si>
  <si>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</si>
  <si>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</si>
  <si>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</si>
  <si>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</si>
  <si>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</si>
  <si>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</si>
  <si>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</si>
  <si>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</si>
  <si>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</si>
  <si>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</si>
  <si>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</si>
  <si>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</si>
  <si>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</si>
  <si>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</si>
  <si>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</si>
  <si>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</si>
  <si>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</si>
  <si>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</si>
  <si>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</si>
  <si>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</si>
  <si>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</si>
  <si>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</si>
  <si>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</si>
  <si>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</si>
  <si>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</si>
  <si>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</si>
  <si>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</si>
  <si>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</si>
  <si>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</si>
  <si>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</si>
  <si>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</si>
  <si>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</si>
  <si>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</si>
  <si>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</si>
  <si>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</si>
  <si>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</si>
  <si>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</si>
  <si>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</si>
  <si>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</si>
  <si>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</si>
  <si>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</si>
  <si>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</si>
  <si>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</si>
  <si>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</si>
  <si>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</si>
  <si>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</si>
  <si>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</si>
  <si>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</si>
  <si>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</si>
  <si>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</si>
  <si>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</si>
  <si>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</si>
  <si>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</si>
  <si>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</si>
  <si>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</si>
  <si>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</si>
  <si>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</si>
  <si>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</si>
  <si>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</si>
  <si>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</si>
  <si>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</si>
  <si>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</si>
  <si>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</si>
  <si>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</si>
  <si>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</si>
  <si>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</si>
  <si>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</si>
  <si>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</si>
  <si>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</si>
  <si>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</si>
  <si>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</si>
  <si>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</si>
  <si>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</si>
  <si>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</si>
  <si>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</si>
  <si>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</si>
  <si>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</si>
  <si>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</si>
  <si>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</si>
  <si>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</si>
  <si>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</si>
  <si>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</si>
  <si>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</si>
  <si>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</si>
  <si>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</si>
  <si>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</si>
  <si>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</si>
  <si>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</si>
  <si>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</si>
  <si>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</si>
  <si>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</si>
  <si>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</si>
  <si>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</si>
  <si>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</si>
  <si>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</si>
  <si>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</si>
  <si>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</si>
  <si>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</si>
  <si>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</si>
  <si>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</si>
  <si>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</si>
  <si>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</si>
  <si>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</si>
  <si>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</si>
  <si>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</si>
  <si>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</si>
  <si>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</si>
  <si>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</si>
  <si>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</si>
  <si>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</si>
  <si>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</si>
  <si>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</si>
  <si>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</si>
  <si>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</si>
  <si>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</si>
  <si>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</si>
  <si>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</si>
  <si>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</si>
  <si>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</si>
  <si>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</si>
  <si>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</si>
  <si>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</si>
  <si>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</si>
  <si>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</si>
  <si>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</si>
  <si>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</si>
  <si>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</si>
  <si>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</si>
  <si>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</si>
  <si>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</si>
  <si>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</si>
  <si>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</si>
  <si>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</si>
  <si>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</si>
  <si>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</si>
  <si>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</si>
  <si>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</si>
  <si>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</si>
  <si>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</si>
  <si>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</si>
  <si>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</si>
  <si>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</si>
  <si>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</si>
  <si>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</si>
  <si>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</si>
  <si>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</si>
  <si>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</si>
  <si>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</si>
  <si>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</si>
  <si>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</si>
  <si>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</si>
  <si>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</si>
  <si>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</si>
  <si>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</si>
  <si>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</si>
  <si>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</si>
  <si>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</si>
  <si>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</si>
  <si>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</si>
  <si>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</si>
  <si>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</si>
  <si>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</si>
  <si>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</si>
  <si>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</si>
  <si>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</si>
  <si>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</si>
  <si>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</si>
  <si>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</si>
  <si>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</si>
  <si>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</si>
  <si>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</si>
  <si>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</si>
  <si>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</si>
  <si>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</si>
  <si>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</si>
  <si>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</si>
  <si>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</si>
  <si>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</si>
  <si>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</si>
  <si>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</si>
  <si>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</si>
  <si>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</si>
  <si>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</si>
  <si>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</si>
  <si>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</si>
  <si>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</si>
  <si>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</si>
  <si>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</si>
  <si>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</si>
  <si>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</si>
  <si>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</si>
  <si>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</si>
  <si>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</si>
  <si>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</si>
  <si>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</si>
  <si>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</si>
  <si>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</si>
  <si>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</si>
  <si>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</si>
  <si>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</si>
  <si>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</si>
  <si>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</si>
  <si>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</si>
  <si>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</si>
  <si>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</si>
  <si>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</si>
  <si>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</si>
  <si>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</si>
  <si>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</si>
  <si>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</si>
  <si>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</si>
  <si>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</si>
  <si>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</si>
  <si>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</si>
  <si>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</si>
  <si>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</si>
  <si>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</si>
  <si>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</si>
  <si>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</si>
  <si>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</si>
  <si>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</si>
  <si>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</si>
  <si>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</si>
  <si>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</si>
  <si>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</si>
  <si>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</si>
  <si>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</si>
  <si>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</si>
  <si>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</si>
  <si>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</si>
  <si>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</si>
  <si>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</si>
  <si>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</si>
  <si>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</si>
  <si>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</si>
  <si>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</si>
  <si>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</si>
  <si>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</si>
  <si>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</si>
  <si>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</si>
  <si>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</si>
  <si>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</si>
  <si>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</si>
  <si>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</si>
  <si>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</si>
  <si>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</si>
  <si>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</si>
  <si>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</si>
  <si>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</si>
  <si>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</si>
  <si>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</si>
  <si>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</si>
  <si>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</si>
  <si>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</si>
  <si>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</si>
  <si>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</si>
  <si>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</si>
  <si>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</si>
  <si>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</si>
  <si>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</si>
  <si>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</si>
  <si>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</si>
  <si>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</si>
  <si>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</si>
  <si>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</si>
  <si>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</si>
  <si>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</si>
  <si>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</si>
  <si>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</si>
  <si>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</si>
  <si>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</si>
  <si>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</si>
  <si>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</si>
  <si>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</si>
  <si>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</si>
  <si>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</si>
  <si>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</si>
  <si>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</si>
  <si>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</si>
  <si>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</si>
  <si>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</si>
  <si>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</si>
  <si>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</si>
  <si>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</si>
  <si>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</si>
  <si>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</si>
  <si>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</si>
  <si>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</si>
  <si>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</si>
  <si>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</si>
  <si>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</si>
  <si>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</si>
  <si>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</si>
  <si>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</si>
  <si>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</si>
  <si>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</si>
  <si>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</si>
  <si>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</si>
  <si>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</si>
  <si>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</si>
  <si>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</si>
  <si>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</si>
  <si>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</si>
  <si>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</si>
  <si>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</si>
  <si>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</si>
  <si>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</si>
  <si>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</si>
  <si>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</si>
  <si>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</si>
  <si>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</si>
  <si>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</si>
  <si>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</si>
  <si>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</si>
  <si>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</si>
  <si>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</si>
  <si>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</si>
  <si>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</si>
  <si>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</si>
  <si>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</si>
  <si>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</si>
  <si>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</si>
  <si>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</si>
  <si>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</si>
  <si>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</si>
  <si>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</si>
  <si>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</si>
  <si>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</si>
  <si>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</si>
  <si>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</si>
  <si>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</si>
  <si>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</si>
  <si>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</si>
  <si>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</si>
  <si>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</si>
  <si>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</si>
  <si>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</si>
  <si>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</si>
  <si>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</si>
  <si>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</si>
  <si>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</si>
  <si>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</si>
  <si>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</si>
  <si>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</si>
  <si>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</si>
  <si>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</si>
  <si>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</si>
  <si>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</si>
  <si>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</si>
  <si>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</si>
  <si>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</si>
  <si>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</si>
  <si>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</si>
  <si>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</si>
  <si>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</si>
  <si>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</si>
  <si>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</si>
  <si>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</si>
  <si>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</si>
  <si>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</si>
  <si>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</si>
  <si>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</si>
  <si>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</si>
  <si>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</si>
  <si>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</si>
  <si>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</si>
  <si>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</si>
  <si>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</si>
  <si>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</si>
  <si>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</si>
  <si>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</si>
  <si>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</si>
  <si>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</si>
  <si>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</si>
  <si>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</si>
  <si>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</si>
  <si>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</si>
  <si>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</si>
  <si>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</si>
  <si>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</si>
  <si>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</si>
  <si>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</si>
  <si>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</si>
  <si>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</si>
  <si>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</si>
  <si>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</si>
  <si>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</si>
  <si>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</si>
  <si>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</si>
  <si>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</si>
  <si>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</si>
  <si>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</si>
  <si>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</si>
  <si>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</si>
  <si>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</si>
  <si>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</si>
  <si>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</si>
  <si>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</si>
  <si>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</si>
  <si>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</si>
  <si>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</si>
  <si>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</si>
  <si>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</si>
  <si>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</si>
  <si>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</si>
  <si>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</si>
  <si>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</si>
  <si>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</si>
  <si>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</si>
  <si>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</si>
  <si>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</si>
  <si>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</si>
  <si>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</si>
  <si>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</si>
  <si>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</si>
  <si>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</si>
  <si>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</si>
  <si>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</si>
  <si>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</si>
  <si>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</si>
  <si>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</si>
  <si>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</si>
  <si>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</si>
  <si>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</si>
  <si>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</si>
  <si>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</si>
  <si>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</si>
  <si>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</si>
  <si>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</si>
  <si>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</si>
  <si>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</si>
  <si>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</si>
  <si>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</si>
  <si>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</si>
  <si>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</si>
  <si>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</si>
  <si>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</si>
  <si>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</si>
  <si>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</si>
  <si>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</si>
  <si>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</si>
  <si>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</si>
  <si>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</si>
  <si>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</si>
  <si>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</si>
  <si>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</si>
  <si>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</si>
  <si>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</si>
  <si>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</si>
  <si>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</si>
  <si>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</si>
  <si>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</si>
  <si>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</si>
  <si>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</si>
  <si>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</si>
  <si>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</si>
  <si>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</si>
  <si>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</si>
  <si>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</si>
  <si>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</si>
  <si>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</si>
  <si>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</si>
  <si>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</si>
  <si>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</si>
  <si>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</si>
  <si>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</si>
  <si>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</si>
  <si>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</si>
  <si>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</si>
  <si>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</si>
  <si>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</si>
  <si>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</si>
  <si>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</si>
  <si>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</si>
  <si>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</si>
  <si>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</si>
  <si>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</si>
  <si>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</si>
  <si>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</si>
  <si>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</si>
  <si>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</si>
  <si>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</si>
  <si>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</si>
  <si>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</si>
  <si>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</si>
  <si>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</si>
  <si>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</si>
  <si>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</si>
  <si>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</si>
  <si>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</si>
  <si>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</si>
  <si>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</si>
  <si>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</si>
  <si>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</si>
  <si>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</si>
  <si>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</si>
  <si>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</si>
  <si>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</si>
  <si>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</si>
  <si>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</si>
  <si>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</si>
  <si>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</si>
  <si>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</si>
  <si>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</si>
  <si>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</si>
  <si>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</si>
  <si>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</si>
  <si>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</si>
  <si>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</si>
  <si>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</si>
  <si>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</si>
  <si>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</si>
  <si>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</si>
  <si>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</si>
  <si>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</si>
  <si>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</si>
  <si>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</si>
  <si>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</si>
  <si>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</si>
  <si>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</si>
  <si>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</si>
  <si>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</si>
  <si>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</si>
  <si>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</si>
  <si>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</si>
  <si>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</si>
  <si>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</si>
  <si>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</si>
  <si>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</si>
  <si>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</si>
  <si>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</si>
  <si>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</si>
  <si>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</si>
  <si>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</si>
  <si>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</si>
  <si>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</si>
  <si>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</si>
  <si>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</si>
  <si>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</si>
  <si>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</si>
  <si>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</si>
  <si>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</si>
  <si>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</si>
  <si>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</si>
  <si>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</si>
  <si>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</si>
  <si>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</si>
  <si>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</si>
  <si>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</si>
  <si>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</si>
  <si>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</si>
  <si>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</si>
  <si>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</si>
  <si>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</si>
  <si>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</si>
  <si>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</si>
  <si>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</si>
  <si>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</si>
  <si>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</si>
  <si>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</si>
  <si>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</si>
  <si>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</si>
  <si>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</si>
  <si>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</si>
  <si>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</si>
  <si>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</si>
  <si>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</si>
  <si>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</si>
  <si>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</si>
  <si>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</si>
  <si>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</si>
  <si>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</si>
  <si>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</si>
  <si>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</si>
  <si>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</si>
  <si>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</si>
  <si>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</si>
  <si>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</si>
  <si>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</si>
  <si>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</si>
  <si>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</si>
  <si>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</si>
  <si>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</si>
  <si>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</si>
  <si>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</si>
  <si>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</si>
  <si>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</si>
  <si>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</si>
  <si>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</si>
  <si>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</si>
  <si>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</si>
  <si>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</si>
  <si>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</si>
  <si>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</si>
  <si>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</si>
  <si>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</si>
  <si>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</si>
  <si>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</si>
  <si>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</si>
  <si>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</si>
  <si>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</si>
  <si>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</si>
  <si>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</si>
  <si>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</si>
  <si>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</si>
  <si>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</si>
  <si>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</si>
  <si>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</si>
  <si>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</si>
  <si>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</si>
  <si>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</si>
  <si>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</si>
  <si>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</si>
  <si>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</si>
  <si>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</si>
  <si>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</si>
  <si>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</si>
  <si>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</si>
  <si>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</si>
  <si>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</si>
  <si>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</si>
  <si>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</si>
  <si>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</si>
  <si>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</si>
  <si>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</si>
  <si>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</si>
  <si>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</si>
  <si>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</si>
  <si>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</si>
  <si>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</si>
  <si>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</si>
  <si>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</si>
  <si>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</si>
  <si>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</si>
  <si>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</si>
  <si>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</si>
  <si>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</si>
  <si>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</si>
  <si>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</si>
  <si>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</si>
  <si>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</si>
  <si>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</si>
  <si>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</si>
  <si>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</si>
  <si>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</si>
  <si>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</si>
  <si>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</si>
  <si>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</si>
  <si>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</si>
  <si>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</si>
  <si>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</si>
  <si>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</si>
  <si>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</si>
  <si>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</si>
  <si>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</si>
  <si>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</si>
  <si>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</si>
  <si>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</si>
  <si>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</si>
  <si>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</si>
  <si>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</si>
  <si>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</si>
  <si>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</si>
  <si>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</si>
  <si>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</si>
  <si>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</si>
  <si>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</si>
  <si>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</si>
  <si>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</si>
  <si>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</si>
  <si>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</si>
  <si>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</si>
  <si>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</si>
  <si>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</si>
  <si>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</si>
  <si>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</si>
  <si>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</si>
  <si>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</si>
  <si>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</si>
  <si>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</si>
  <si>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</si>
  <si>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</si>
  <si>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</si>
  <si>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</si>
  <si>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</si>
  <si>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</si>
  <si>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</si>
  <si>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</si>
  <si>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</si>
  <si>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</si>
  <si>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</si>
  <si>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</si>
  <si>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</si>
  <si>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</si>
  <si>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</si>
  <si>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</si>
  <si>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</si>
  <si>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</si>
  <si>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</si>
  <si>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</si>
  <si>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</si>
  <si>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</si>
  <si>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</si>
  <si>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</si>
  <si>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</si>
  <si>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</si>
  <si>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</si>
  <si>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</si>
  <si>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</si>
  <si>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</si>
  <si>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</si>
  <si>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</si>
  <si>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</si>
  <si>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</si>
  <si>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</si>
  <si>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</si>
  <si>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</si>
  <si>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</si>
  <si>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</si>
  <si>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</si>
  <si>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</si>
  <si>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</si>
  <si>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</si>
  <si>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</si>
  <si>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</si>
  <si>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</si>
  <si>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</si>
  <si>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</si>
  <si>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</si>
  <si>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</si>
  <si>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</si>
  <si>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</si>
  <si>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</si>
  <si>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</si>
  <si>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</si>
  <si>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</si>
  <si>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</si>
  <si>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</si>
  <si>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</si>
  <si>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</si>
  <si>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</si>
  <si>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</si>
  <si>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</si>
  <si>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</si>
  <si>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</si>
  <si>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</si>
  <si>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</si>
  <si>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</si>
  <si>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</si>
  <si>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</si>
  <si>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</si>
  <si>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</si>
  <si>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</si>
  <si>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</si>
  <si>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</si>
  <si>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</si>
  <si>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</si>
  <si>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</si>
  <si>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</si>
  <si>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</si>
  <si>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</si>
  <si>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</si>
  <si>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</si>
  <si>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</si>
  <si>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</si>
  <si>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</si>
  <si>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</si>
  <si>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</si>
  <si>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</si>
  <si>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</si>
  <si>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</si>
  <si>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</si>
  <si>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</si>
  <si>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</si>
  <si>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</si>
  <si>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</si>
  <si>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</si>
  <si>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</si>
  <si>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</si>
  <si>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</si>
  <si>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</si>
  <si>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</si>
  <si>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</si>
  <si>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</si>
  <si>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</si>
  <si>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</si>
  <si>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</si>
  <si>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</si>
  <si>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</si>
  <si>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</si>
  <si>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</si>
  <si>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</si>
  <si>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</si>
  <si>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</si>
  <si>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</si>
  <si>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</si>
  <si>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</si>
  <si>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</si>
  <si>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</si>
  <si>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</si>
  <si>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</si>
  <si>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</si>
  <si>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</si>
  <si>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</si>
  <si>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</si>
  <si>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</si>
  <si>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</si>
  <si>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</si>
  <si>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</si>
  <si>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</si>
  <si>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</si>
  <si>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</si>
  <si>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</si>
  <si>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</si>
  <si>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</si>
  <si>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</si>
  <si>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</si>
  <si>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</si>
  <si>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</si>
  <si>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</si>
  <si>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</si>
  <si>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</si>
  <si>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</si>
  <si>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</si>
  <si>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</si>
  <si>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</si>
  <si>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</si>
  <si>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</si>
  <si>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</si>
  <si>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</si>
  <si>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</si>
  <si>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</si>
  <si>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</si>
  <si>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</si>
  <si>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</si>
  <si>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</si>
  <si>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</si>
  <si>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</si>
  <si>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</si>
  <si>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</si>
  <si>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</si>
  <si>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</si>
  <si>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</si>
  <si>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</si>
  <si>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</si>
  <si>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</si>
  <si>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</si>
  <si>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</si>
  <si>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</si>
  <si>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</si>
  <si>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</si>
  <si>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</si>
  <si>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</si>
  <si>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</si>
  <si>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</si>
  <si>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</si>
  <si>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</si>
  <si>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</si>
  <si>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</si>
  <si>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</si>
  <si>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</si>
  <si>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</si>
  <si>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</si>
  <si>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</si>
  <si>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</si>
  <si>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</si>
  <si>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</si>
  <si>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</si>
  <si>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</si>
  <si>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</si>
  <si>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</si>
  <si>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</si>
  <si>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</si>
  <si>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</si>
  <si>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</si>
  <si>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</si>
  <si>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</si>
  <si>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</si>
  <si>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</si>
  <si>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</si>
  <si>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</si>
  <si>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</si>
  <si>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</si>
  <si>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</si>
  <si>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</si>
  <si>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</si>
  <si>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</si>
  <si>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</si>
  <si>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</si>
  <si>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</si>
  <si>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</si>
  <si>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</si>
  <si>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</si>
  <si>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</si>
  <si>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</si>
  <si>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</si>
  <si>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</si>
  <si>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</si>
  <si>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</si>
  <si>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</si>
  <si>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</si>
  <si>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</si>
  <si>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</si>
  <si>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</si>
  <si>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</si>
  <si>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</si>
  <si>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</si>
  <si>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</si>
  <si>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</si>
  <si>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</si>
  <si>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</si>
  <si>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</si>
  <si>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</si>
  <si>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</si>
  <si>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</si>
  <si>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</si>
  <si>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</si>
  <si>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</si>
  <si>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</si>
  <si>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</si>
  <si>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</si>
  <si>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</si>
  <si>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</si>
  <si>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</si>
  <si>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</si>
  <si>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</si>
  <si>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</si>
  <si>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</si>
  <si>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</si>
  <si>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</si>
  <si>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</si>
  <si>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</si>
  <si>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</si>
  <si>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</si>
  <si>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</si>
  <si>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</si>
  <si>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</si>
  <si>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</si>
  <si>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</si>
  <si>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</si>
  <si>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</si>
  <si>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</si>
  <si>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</si>
  <si>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</si>
  <si>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</si>
  <si>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</si>
  <si>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</si>
  <si>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</si>
  <si>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</si>
  <si>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</si>
  <si>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</si>
  <si>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</si>
  <si>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</si>
  <si>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</si>
  <si>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</si>
  <si>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</si>
  <si>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</si>
  <si>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</si>
  <si>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</si>
  <si>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</si>
  <si>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</si>
  <si>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</si>
  <si>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</si>
  <si>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</si>
  <si>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</si>
  <si>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</si>
  <si>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</si>
  <si>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</si>
  <si>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</si>
  <si>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</si>
  <si>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</si>
  <si>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</si>
  <si>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</si>
  <si>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</si>
  <si>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</si>
  <si>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</si>
  <si>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</si>
  <si>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</si>
  <si>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</si>
  <si>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</si>
  <si>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</si>
  <si>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</si>
  <si>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</si>
  <si>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</si>
  <si>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</si>
  <si>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</si>
  <si>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</si>
  <si>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</si>
  <si>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</si>
  <si>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</si>
  <si>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</si>
  <si>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</si>
  <si>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</si>
  <si>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</si>
  <si>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</si>
  <si>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</si>
  <si>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</si>
  <si>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</si>
  <si>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</si>
  <si>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</si>
  <si>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</si>
  <si>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</si>
  <si>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</si>
  <si>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</si>
  <si>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</si>
  <si>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</si>
  <si>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</si>
  <si>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</si>
  <si>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</si>
  <si>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</si>
  <si>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</si>
  <si>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</si>
  <si>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</si>
  <si>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</si>
  <si>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</si>
  <si>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</si>
  <si>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</si>
  <si>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</si>
  <si>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</si>
  <si>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</si>
  <si>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</si>
  <si>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</si>
  <si>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</si>
  <si>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</si>
  <si>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</si>
  <si>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</si>
  <si>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</si>
  <si>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</si>
  <si>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</si>
  <si>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</si>
  <si>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</si>
  <si>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</si>
  <si>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</si>
  <si>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</si>
  <si>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</si>
  <si>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</si>
  <si>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</si>
  <si>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</si>
  <si>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</si>
  <si>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</si>
  <si>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</si>
  <si>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</si>
  <si>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</si>
  <si>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</si>
  <si>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</si>
  <si>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</si>
  <si>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</si>
  <si>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</si>
  <si>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</si>
  <si>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</si>
  <si>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</si>
  <si>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</si>
  <si>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</si>
  <si>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</si>
  <si>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</si>
  <si>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</si>
  <si>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</si>
  <si>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</si>
  <si>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</si>
  <si>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</si>
  <si>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</si>
  <si>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</si>
  <si>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</si>
  <si>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</si>
  <si>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</si>
  <si>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</si>
  <si>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</si>
  <si>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</si>
  <si>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</si>
  <si>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</si>
  <si>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</si>
  <si>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</si>
  <si>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</si>
  <si>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</si>
  <si>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</si>
  <si>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</si>
  <si>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</si>
  <si>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</si>
  <si>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</si>
  <si>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</si>
  <si>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</si>
  <si>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</si>
  <si>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</si>
  <si>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</si>
  <si>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</si>
  <si>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</si>
  <si>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</si>
  <si>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</si>
  <si>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</si>
  <si>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</si>
  <si>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</si>
  <si>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</si>
  <si>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</si>
  <si>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</si>
  <si>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</si>
  <si>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</si>
  <si>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</si>
  <si>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</si>
  <si>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</si>
  <si>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</si>
  <si>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</si>
  <si>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</si>
  <si>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</si>
  <si>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</si>
  <si>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</si>
  <si>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</si>
  <si>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</si>
  <si>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</si>
  <si>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</si>
  <si>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</si>
  <si>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</si>
  <si>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</si>
  <si>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</si>
  <si>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</si>
  <si>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</si>
  <si>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</si>
  <si>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</si>
  <si>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</si>
  <si>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</si>
  <si>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</si>
  <si>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</si>
  <si>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</si>
  <si>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</si>
  <si>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</si>
  <si>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</si>
  <si>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</si>
  <si>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</si>
  <si>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</si>
  <si>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</si>
  <si>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</si>
  <si>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</si>
  <si>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</si>
  <si>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</si>
  <si>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</si>
  <si>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</si>
  <si>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</si>
  <si>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</si>
  <si>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</si>
  <si>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</si>
  <si>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</si>
  <si>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</si>
  <si>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</si>
  <si>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</si>
  <si>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</si>
  <si>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</si>
  <si>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</si>
  <si>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</si>
  <si>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</si>
  <si>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</si>
  <si>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</si>
  <si>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</si>
  <si>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</si>
  <si>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</si>
  <si>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</si>
  <si>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</si>
  <si>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</si>
  <si>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</si>
  <si>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</si>
  <si>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</si>
  <si>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</si>
  <si>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</si>
  <si>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</si>
  <si>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</si>
  <si>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</si>
  <si>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</si>
  <si>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</si>
  <si>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</si>
  <si>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</si>
  <si>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</si>
  <si>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</si>
  <si>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</si>
  <si>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</si>
  <si>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</si>
  <si>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</si>
  <si>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</si>
  <si>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</si>
  <si>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</si>
  <si>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</si>
  <si>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</si>
  <si>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</si>
  <si>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</si>
  <si>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</si>
  <si>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</si>
  <si>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</si>
  <si>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</si>
  <si>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</si>
  <si>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</si>
  <si>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</si>
  <si>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</si>
  <si>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</si>
  <si>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</si>
  <si>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</si>
  <si>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</si>
  <si>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</si>
  <si>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</si>
  <si>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</si>
  <si>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</si>
  <si>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</si>
  <si>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</si>
  <si>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</si>
  <si>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</si>
  <si>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</si>
  <si>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</si>
  <si>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</si>
  <si>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</si>
  <si>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</si>
  <si>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</si>
  <si>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</si>
  <si>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</si>
  <si>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</si>
  <si>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</si>
  <si>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</si>
  <si>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</si>
  <si>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</si>
  <si>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</si>
  <si>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</si>
  <si>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</si>
  <si>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</si>
  <si>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</si>
  <si>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</si>
  <si>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</si>
  <si>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</si>
  <si>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</si>
  <si>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</si>
  <si>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</si>
  <si>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</si>
  <si>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</si>
  <si>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</si>
  <si>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</si>
  <si>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</si>
  <si>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</si>
  <si>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</si>
  <si>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</si>
  <si>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</si>
  <si>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</si>
  <si>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</si>
  <si>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</si>
  <si>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</si>
  <si>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</si>
  <si>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</si>
  <si>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</si>
  <si>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</si>
  <si>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</si>
  <si>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</si>
  <si>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</si>
  <si>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</si>
  <si>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</si>
  <si>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</si>
  <si>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</si>
  <si>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</si>
  <si>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</si>
  <si>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</si>
  <si>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</si>
  <si>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</si>
  <si>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</si>
  <si>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</si>
  <si>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</si>
  <si>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</si>
  <si>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</si>
  <si>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</si>
  <si>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</si>
  <si>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</si>
  <si>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</si>
  <si>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</si>
  <si>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</si>
  <si>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</si>
  <si>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</si>
  <si>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</si>
  <si>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</si>
  <si>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</si>
  <si>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</si>
  <si>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</si>
  <si>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</si>
  <si>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</si>
  <si>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</si>
  <si>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</si>
  <si>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</si>
  <si>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</si>
  <si>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</si>
  <si>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</si>
  <si>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</si>
  <si>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</si>
  <si>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</si>
  <si>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</si>
  <si>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</si>
  <si>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</si>
  <si>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</si>
  <si>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</si>
  <si>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</si>
  <si>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</si>
  <si>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</si>
  <si>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</si>
  <si>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</si>
  <si>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</si>
  <si>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</si>
  <si>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</si>
  <si>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</si>
  <si>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</si>
  <si>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</si>
  <si>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</si>
  <si>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</si>
  <si>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</si>
  <si>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</si>
  <si>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</si>
  <si>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</si>
  <si>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</si>
  <si>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</si>
  <si>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</si>
  <si>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</si>
  <si>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</si>
  <si>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</si>
  <si>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</si>
  <si>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</si>
  <si>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</si>
  <si>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</si>
  <si>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</si>
  <si>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</si>
  <si>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</si>
  <si>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</si>
  <si>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</si>
  <si>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</si>
  <si>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</si>
  <si>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</si>
  <si>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</si>
  <si>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</si>
  <si>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</si>
  <si>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</si>
  <si>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</si>
  <si>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</si>
  <si>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</si>
  <si>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</si>
  <si>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</si>
  <si>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</si>
  <si>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</si>
  <si>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</si>
  <si>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</si>
  <si>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</si>
  <si>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</si>
  <si>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</si>
  <si>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</si>
  <si>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</si>
  <si>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</si>
  <si>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</si>
  <si>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</si>
  <si>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</si>
  <si>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</si>
  <si>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</si>
  <si>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</si>
  <si>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</si>
  <si>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</si>
  <si>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</si>
  <si>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</si>
  <si>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</si>
  <si>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</si>
  <si>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</si>
  <si>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</si>
  <si>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</si>
  <si>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</si>
  <si>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</si>
  <si>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</si>
  <si>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</si>
  <si>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</si>
  <si>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</si>
  <si>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</si>
  <si>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</si>
  <si>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</si>
  <si>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</si>
  <si>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</si>
  <si>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</si>
  <si>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</si>
  <si>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</si>
  <si>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</si>
  <si>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</si>
  <si>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</si>
  <si>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</si>
  <si>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</si>
  <si>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</si>
  <si>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</si>
  <si>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</si>
  <si>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</si>
  <si>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</si>
  <si>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</si>
  <si>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</si>
  <si>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</si>
  <si>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</si>
  <si>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</si>
  <si>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</si>
  <si>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</si>
  <si>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</si>
  <si>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</si>
  <si>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</si>
  <si>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</si>
  <si>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</si>
  <si>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</si>
  <si>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</si>
  <si>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</si>
  <si>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</si>
  <si>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</si>
  <si>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</si>
  <si>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</si>
  <si>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</si>
  <si>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</si>
  <si>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</si>
  <si>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</si>
  <si>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</si>
  <si>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</si>
  <si>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</si>
  <si>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</si>
  <si>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</si>
  <si>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</si>
  <si>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</si>
  <si>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</si>
  <si>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</si>
  <si>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</si>
  <si>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</si>
  <si>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</si>
  <si>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</si>
  <si>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</si>
  <si>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</si>
  <si>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</si>
  <si>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</si>
  <si>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</si>
  <si>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</si>
  <si>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</si>
  <si>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</si>
  <si>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</si>
  <si>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</si>
  <si>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</si>
  <si>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</si>
  <si>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</si>
  <si>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</si>
  <si>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</si>
  <si>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</si>
  <si>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</si>
  <si>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</si>
  <si>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</si>
  <si>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</si>
  <si>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</si>
  <si>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</si>
  <si>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</si>
  <si>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</si>
  <si>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</si>
  <si>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</si>
  <si>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</si>
  <si>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</si>
  <si>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</si>
  <si>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</si>
  <si>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</si>
  <si>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</si>
  <si>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</si>
  <si>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</si>
  <si>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</si>
  <si>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</si>
  <si>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</si>
  <si>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</si>
  <si>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</si>
  <si>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</si>
  <si>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</si>
  <si>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</si>
  <si>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</si>
  <si>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</si>
  <si>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</si>
  <si>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</si>
  <si>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</si>
  <si>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</si>
  <si>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</si>
  <si>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</si>
  <si>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</si>
  <si>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</si>
  <si>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</si>
  <si>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</si>
  <si>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</si>
  <si>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</si>
  <si>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</si>
  <si>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</si>
  <si>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</si>
  <si>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</si>
  <si>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</si>
  <si>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</si>
  <si>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</si>
  <si>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</si>
  <si>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</si>
  <si>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</si>
  <si>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</si>
  <si>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</si>
  <si>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</si>
  <si>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</si>
  <si>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</si>
  <si>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</si>
  <si>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</si>
  <si>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</si>
  <si>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</si>
  <si>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</si>
  <si>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</si>
  <si>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</si>
  <si>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</si>
  <si>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</si>
  <si>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</si>
  <si>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</si>
  <si>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</si>
  <si>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</si>
  <si>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</si>
  <si>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</si>
  <si>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</si>
  <si>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</si>
  <si>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</si>
  <si>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</si>
  <si>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</si>
  <si>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</si>
  <si>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</si>
  <si>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</si>
  <si>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</si>
  <si>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</si>
  <si>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</si>
  <si>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</si>
  <si>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</si>
  <si>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</si>
  <si>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</si>
  <si>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</si>
  <si>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</si>
  <si>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</si>
  <si>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</si>
  <si>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</si>
  <si>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</si>
  <si>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</si>
  <si>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</si>
  <si>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</si>
  <si>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</si>
  <si>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</si>
  <si>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</si>
  <si>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</si>
  <si>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</si>
  <si>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</si>
  <si>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</si>
  <si>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</si>
  <si>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</si>
  <si>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</si>
  <si>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</si>
  <si>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</si>
  <si>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</si>
  <si>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</si>
  <si>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</si>
  <si>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</si>
  <si>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</si>
  <si>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</si>
  <si>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</si>
  <si>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</si>
  <si>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</si>
  <si>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</si>
  <si>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</si>
  <si>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</si>
  <si>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</si>
  <si>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</si>
  <si>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</si>
  <si>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</si>
  <si>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</si>
  <si>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</si>
  <si>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</si>
  <si>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</si>
  <si>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</si>
  <si>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</si>
  <si>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</si>
  <si>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</si>
  <si>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</si>
  <si>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</si>
  <si>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</si>
  <si>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</si>
  <si>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</si>
  <si>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</si>
  <si>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</si>
  <si>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</si>
  <si>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</si>
  <si>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</si>
  <si>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</si>
  <si>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</si>
  <si>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</si>
  <si>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</si>
  <si>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</si>
  <si>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</si>
  <si>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</si>
  <si>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</si>
  <si>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</si>
  <si>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</si>
  <si>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</si>
  <si>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</si>
  <si>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</si>
  <si>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</si>
  <si>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</si>
  <si>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</si>
  <si>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</si>
  <si>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</si>
  <si>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</si>
  <si>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</si>
  <si>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</si>
  <si>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</si>
  <si>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</si>
  <si>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</si>
  <si>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</si>
  <si>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</si>
  <si>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</si>
  <si>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</si>
  <si>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</si>
  <si>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</si>
  <si>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</si>
  <si>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</si>
  <si>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</si>
  <si>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</si>
  <si>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</si>
  <si>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</si>
  <si>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</si>
  <si>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</si>
  <si>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</si>
  <si>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</si>
  <si>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</si>
  <si>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</si>
  <si>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</si>
  <si>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</si>
  <si>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</si>
  <si>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</si>
  <si>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</si>
  <si>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</si>
  <si>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</si>
  <si>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</si>
  <si>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</si>
  <si>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</si>
  <si>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</si>
  <si>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</si>
  <si>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</si>
  <si>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</si>
  <si>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</si>
  <si>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</si>
  <si>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</si>
  <si>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</si>
  <si>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</si>
  <si>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</si>
  <si>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</si>
  <si>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</si>
  <si>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</si>
  <si>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</si>
  <si>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</si>
  <si>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</si>
  <si>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</si>
  <si>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</si>
  <si>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</si>
  <si>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</si>
  <si>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</si>
  <si>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</si>
  <si>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</si>
  <si>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</si>
  <si>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</si>
  <si>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</si>
  <si>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</si>
  <si>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</si>
  <si>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</si>
  <si>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</si>
  <si>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</si>
  <si>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</si>
  <si>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</si>
  <si>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</si>
  <si>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</si>
  <si>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</si>
  <si>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</si>
  <si>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</si>
  <si>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</si>
  <si>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</si>
  <si>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</si>
  <si>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</si>
  <si>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</si>
  <si>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</si>
  <si>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</si>
  <si>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</si>
  <si>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</si>
  <si>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</si>
  <si>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</si>
  <si>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</si>
  <si>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</si>
  <si>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</si>
  <si>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</si>
  <si>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</si>
  <si>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</si>
  <si>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</si>
  <si>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</si>
  <si>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</si>
  <si>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</si>
  <si>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</si>
  <si>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</si>
  <si>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</si>
  <si>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</si>
  <si>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</si>
  <si>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</si>
  <si>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</si>
  <si>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</si>
  <si>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</si>
  <si>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</si>
  <si>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</si>
  <si>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</si>
  <si>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</si>
  <si>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</si>
  <si>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</si>
  <si>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</si>
  <si>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</si>
  <si>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</si>
  <si>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</si>
  <si>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</si>
  <si>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</si>
  <si>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</si>
  <si>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</si>
  <si>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</si>
  <si>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</si>
  <si>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</si>
  <si>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</si>
  <si>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</si>
  <si>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</si>
  <si>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</si>
  <si>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</si>
  <si>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</si>
  <si>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</si>
  <si>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</si>
  <si>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</si>
  <si>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</si>
  <si>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</si>
  <si>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</si>
  <si>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</si>
  <si>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</si>
  <si>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</si>
  <si>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</si>
  <si>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</si>
  <si>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</si>
  <si>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</si>
  <si>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</si>
  <si>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</si>
  <si>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</si>
  <si>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</si>
  <si>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</si>
  <si>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</si>
  <si>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</si>
  <si>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</si>
  <si>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</si>
  <si>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</si>
  <si>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</si>
  <si>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</si>
  <si>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</si>
  <si>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</si>
  <si>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</si>
  <si>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</si>
  <si>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</si>
  <si>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</si>
  <si>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</si>
  <si>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Общий итог</t>
  </si>
  <si>
    <t>Sales_person</t>
  </si>
  <si>
    <t>Order_ID</t>
  </si>
  <si>
    <t>Sum_TotalPrice</t>
  </si>
  <si>
    <t>Payment_Method</t>
  </si>
  <si>
    <t>AVG_check</t>
  </si>
  <si>
    <t>2023</t>
  </si>
  <si>
    <t>2024</t>
  </si>
  <si>
    <t>2025</t>
  </si>
  <si>
    <t>Order_Date</t>
  </si>
  <si>
    <t>Січ</t>
  </si>
  <si>
    <t>Лют</t>
  </si>
  <si>
    <t>Бер</t>
  </si>
  <si>
    <t>Кві</t>
  </si>
  <si>
    <t>Тра</t>
  </si>
  <si>
    <t>Чер</t>
  </si>
  <si>
    <t>Лип</t>
  </si>
  <si>
    <t>Сер</t>
  </si>
  <si>
    <t>Вер</t>
  </si>
  <si>
    <t>Жов</t>
  </si>
  <si>
    <t>Лис</t>
  </si>
  <si>
    <t>Гру</t>
  </si>
  <si>
    <t>(Все)</t>
  </si>
  <si>
    <t>Month</t>
  </si>
  <si>
    <r>
      <rPr>
        <b/>
        <u/>
        <sz val="11"/>
        <color theme="1"/>
        <rFont val="Calibri"/>
        <family val="2"/>
        <charset val="204"/>
        <scheme val="minor"/>
      </rPr>
      <t>Висновок:</t>
    </r>
    <r>
      <rPr>
        <sz val="11"/>
        <color theme="1"/>
        <rFont val="Calibri"/>
        <family val="2"/>
        <scheme val="minor"/>
      </rPr>
      <t xml:space="preserve"> Найбільшу кількість замовлень має Carlos - 270, тоді як найбільшу загальну суму продажів отримав Bob - €796 780,52. Склад TOP-5 за кількістю замовлень та за сумою продажів відрізняється: Diana входить до TOP-5 за кількістю замовлень, але не входить до TOP-5 за сумою продажів, а Eva - навпаки. Отже, більша кількість замовлень не обов’язково означає більшу загальну суму продажів, оскільки важливу роль відіграє середня вартість замовлення.</t>
    </r>
  </si>
  <si>
    <r>
      <t xml:space="preserve">Продажі мають тенденцію до зниження протягом аналізованих років. У 2024 році </t>
    </r>
    <r>
      <rPr>
        <b/>
        <u/>
        <sz val="11"/>
        <color theme="1"/>
        <rFont val="Calibri"/>
        <family val="2"/>
        <charset val="204"/>
        <scheme val="minor"/>
      </rPr>
      <t>найбільший обсяг продажів</t>
    </r>
    <r>
      <rPr>
        <sz val="11"/>
        <color theme="1"/>
        <rFont val="Calibri"/>
        <family val="2"/>
        <scheme val="minor"/>
      </rPr>
      <t xml:space="preserve"> спостерігається у </t>
    </r>
    <r>
      <rPr>
        <b/>
        <u/>
        <sz val="11"/>
        <color theme="1"/>
        <rFont val="Calibri"/>
        <family val="2"/>
        <charset val="204"/>
        <scheme val="minor"/>
      </rPr>
      <t>жовтні</t>
    </r>
    <r>
      <rPr>
        <sz val="11"/>
        <color theme="1"/>
        <rFont val="Calibri"/>
        <family val="2"/>
        <scheme val="minor"/>
      </rPr>
      <t>, а</t>
    </r>
    <r>
      <rPr>
        <b/>
        <u/>
        <sz val="11"/>
        <color theme="1"/>
        <rFont val="Calibri"/>
        <family val="2"/>
        <charset val="204"/>
        <scheme val="minor"/>
      </rPr>
      <t xml:space="preserve"> найменший</t>
    </r>
    <r>
      <rPr>
        <sz val="11"/>
        <color theme="1"/>
        <rFont val="Calibri"/>
        <family val="2"/>
        <scheme val="minor"/>
      </rPr>
      <t xml:space="preserve"> - у </t>
    </r>
    <r>
      <rPr>
        <b/>
        <u/>
        <sz val="11"/>
        <color theme="1"/>
        <rFont val="Calibri"/>
        <family val="2"/>
        <charset val="204"/>
        <scheme val="minor"/>
      </rPr>
      <t>серпні.</t>
    </r>
    <r>
      <rPr>
        <sz val="11"/>
        <color theme="1"/>
        <rFont val="Calibri"/>
        <family val="2"/>
        <scheme val="minor"/>
      </rPr>
      <t xml:space="preserve"> Динаміка продажів протягом року характеризується сезонними коливаннями.</t>
    </r>
  </si>
  <si>
    <t>Customer_Type</t>
  </si>
  <si>
    <t>% OrderID</t>
  </si>
  <si>
    <r>
      <rPr>
        <b/>
        <u/>
        <sz val="11"/>
        <color theme="1"/>
        <rFont val="Calibri"/>
        <family val="2"/>
        <charset val="204"/>
        <scheme val="minor"/>
      </rPr>
      <t xml:space="preserve">Висновок: </t>
    </r>
    <r>
      <rPr>
        <sz val="11"/>
        <color theme="1"/>
        <rFont val="Calibri"/>
        <family val="2"/>
        <scheme val="minor"/>
      </rPr>
      <t>Між вартістю замовлення (TotalPrice) та вартістю доставки (ShippingCost) практично відсутній лінійний зв’язок. Значення R² = 0,00009 є дуже близьким до нуля, тому зміна вартості замовлення майже не пояснює зміну вартості доставки. Отже, вартість доставки, ймовірно, залежить від інших факторів, а не безпосередньо від загальної вартості замовлення.</t>
    </r>
  </si>
  <si>
    <t>Sum_ShippingCost</t>
  </si>
  <si>
    <t>Product_type</t>
  </si>
  <si>
    <t>DeliveryTime</t>
  </si>
  <si>
    <t>Unique region</t>
  </si>
  <si>
    <t>Region Average Delivery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</si>
</sst>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€-2]\ #,##0.00"/>
    <numFmt numFmtId="166" formatCode="[$]dd/mm/yyyy;@" x16r2:formatCode16="[$-en-UA,1]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9" fontId="2" fillId="2" borderId="0" xfId="0" applyNumberFormat="1" applyFont="1" applyFill="1" applyAlignment="1">
      <alignment horizontal="center" vertical="center"/>
    </xf>
    <xf numFmtId="9" fontId="0" fillId="0" borderId="0" xfId="0" applyNumberFormat="1"/>
    <xf numFmtId="165" fontId="2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166" fontId="2" fillId="2" borderId="0" xfId="0" applyNumberFormat="1" applyFont="1" applyFill="1" applyAlignment="1">
      <alignment horizontal="center" vertical="center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4" fillId="2" borderId="0" xfId="0" applyFont="1" applyFill="1"/>
    <xf numFmtId="2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[Product-Sales-Region.xlsx]The most successful salesperson!Сводная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aseline="0"/>
              <a:t> </a:t>
            </a:r>
            <a:r>
              <a:rPr lang="uk-UA" sz="1600" b="1" i="0" u="none" strike="noStrike" cap="none" normalizeH="0" baseline="0"/>
              <a:t>Top 5 Salespersons by Number of Orders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 most successful salesperson'!$B$3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most successful salesperson'!$A$4:$A$9</c:f>
              <c:strCache>
                <c:ptCount val="5"/>
                <c:pt idx="0">
                  <c:v>Carlos</c:v>
                </c:pt>
                <c:pt idx="1">
                  <c:v>Alice</c:v>
                </c:pt>
                <c:pt idx="2">
                  <c:v>Diana</c:v>
                </c:pt>
                <c:pt idx="3">
                  <c:v>Frank</c:v>
                </c:pt>
                <c:pt idx="4">
                  <c:v>Bob</c:v>
                </c:pt>
              </c:strCache>
            </c:strRef>
          </c:cat>
          <c:val>
            <c:numRef>
              <c:f>'The most successful salesperson'!$B$4:$B$9</c:f>
              <c:numCache>
                <c:formatCode>General</c:formatCode>
                <c:ptCount val="5"/>
                <c:pt idx="0">
                  <c:v>270</c:v>
                </c:pt>
                <c:pt idx="1">
                  <c:v>259</c:v>
                </c:pt>
                <c:pt idx="2">
                  <c:v>249</c:v>
                </c:pt>
                <c:pt idx="3">
                  <c:v>243</c:v>
                </c:pt>
                <c:pt idx="4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4-4A94-AB6E-FF03F53C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81012575"/>
        <c:axId val="126722927"/>
      </c:barChart>
      <c:catAx>
        <c:axId val="28101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722927"/>
        <c:crosses val="autoZero"/>
        <c:auto val="1"/>
        <c:lblAlgn val="ctr"/>
        <c:lblOffset val="100"/>
        <c:noMultiLvlLbl val="0"/>
      </c:catAx>
      <c:valAx>
        <c:axId val="12672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810125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[Product-Sales-Region.xlsx]The most successful salesperson!Сводная таблица11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uk-UA" sz="1600" b="1" i="0" u="none" strike="noStrike" cap="none" normalizeH="0" baseline="0"/>
              <a:t>Top 5 Salespersons by Total Sales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 most successful salesperson'!$K$3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most successful salesperson'!$J$4:$J$9</c:f>
              <c:strCache>
                <c:ptCount val="5"/>
                <c:pt idx="0">
                  <c:v>Bob</c:v>
                </c:pt>
                <c:pt idx="1">
                  <c:v>Alice</c:v>
                </c:pt>
                <c:pt idx="2">
                  <c:v>Frank</c:v>
                </c:pt>
                <c:pt idx="3">
                  <c:v>Carlos</c:v>
                </c:pt>
                <c:pt idx="4">
                  <c:v>Eva</c:v>
                </c:pt>
              </c:strCache>
            </c:strRef>
          </c:cat>
          <c:val>
            <c:numRef>
              <c:f>'The most successful salesperson'!$K$4:$K$9</c:f>
              <c:numCache>
                <c:formatCode>[$€-2]\ #\ ##0.00</c:formatCode>
                <c:ptCount val="5"/>
                <c:pt idx="0">
                  <c:v>796780.52149999957</c:v>
                </c:pt>
                <c:pt idx="1">
                  <c:v>786165.8400000002</c:v>
                </c:pt>
                <c:pt idx="2">
                  <c:v>714641.52200000035</c:v>
                </c:pt>
                <c:pt idx="3">
                  <c:v>707166.71600000071</c:v>
                </c:pt>
                <c:pt idx="4">
                  <c:v>698669.57950000011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2-434A-BC1E-D5967CF20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37609007"/>
        <c:axId val="126776207"/>
      </c:barChart>
      <c:catAx>
        <c:axId val="43760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776207"/>
        <c:crosses val="autoZero"/>
        <c:auto val="1"/>
        <c:lblAlgn val="ctr"/>
        <c:lblOffset val="100"/>
        <c:noMultiLvlLbl val="0"/>
      </c:catAx>
      <c:valAx>
        <c:axId val="1267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760900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[Product-Sales-Region.xlsx]Average check by payment method!Сводная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600" b="1" i="0" u="none" strike="noStrike" baseline="0"/>
              <a:t>Average Check by Payment Method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check by payment method'!$B$3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check by payment method'!$A$4:$A$9</c:f>
              <c:strCache>
                <c:ptCount val="5"/>
                <c:pt idx="0">
                  <c:v>Cash</c:v>
                </c:pt>
                <c:pt idx="1">
                  <c:v>Online</c:v>
                </c:pt>
                <c:pt idx="2">
                  <c:v>Gift Card</c:v>
                </c:pt>
                <c:pt idx="3">
                  <c:v>Credit Card</c:v>
                </c:pt>
                <c:pt idx="4">
                  <c:v>Debit Card</c:v>
                </c:pt>
              </c:strCache>
            </c:strRef>
          </c:cat>
          <c:val>
            <c:numRef>
              <c:f>'Average check by payment method'!$B$4:$B$9</c:f>
              <c:numCache>
                <c:formatCode>[$€-2]\ #\ ##0.00</c:formatCode>
                <c:ptCount val="5"/>
                <c:pt idx="0">
                  <c:v>3046.114900641026</c:v>
                </c:pt>
                <c:pt idx="1">
                  <c:v>3006.5484520123855</c:v>
                </c:pt>
                <c:pt idx="2">
                  <c:v>2976.7586630434803</c:v>
                </c:pt>
                <c:pt idx="3">
                  <c:v>2897.9377073578612</c:v>
                </c:pt>
                <c:pt idx="4">
                  <c:v>2656.6229793103462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B-49F9-B6C5-2175FAFBFF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34265775"/>
        <c:axId val="126788687"/>
      </c:barChart>
      <c:catAx>
        <c:axId val="33426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788687"/>
        <c:crosses val="autoZero"/>
        <c:auto val="1"/>
        <c:lblAlgn val="ctr"/>
        <c:lblOffset val="100"/>
        <c:noMultiLvlLbl val="0"/>
      </c:catAx>
      <c:valAx>
        <c:axId val="12678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342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[Product-Sales-Region.xlsx]Sales dynamics!Сводная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Total Sales by Year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dynamics'!$B$3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dynamics'!$A$4:$A$7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'Sales dynamics'!$B$4:$B$7</c:f>
              <c:numCache>
                <c:formatCode>[$€-2]\ #\ ##0.00</c:formatCode>
                <c:ptCount val="3"/>
                <c:pt idx="0">
                  <c:v>1697869.9764999992</c:v>
                </c:pt>
                <c:pt idx="1">
                  <c:v>1771954.7800000021</c:v>
                </c:pt>
                <c:pt idx="2">
                  <c:v>910167.67200000072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D-4188-AFBE-41E96426D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3688671"/>
        <c:axId val="128191855"/>
      </c:barChart>
      <c:catAx>
        <c:axId val="363688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8191855"/>
        <c:crosses val="autoZero"/>
        <c:auto val="1"/>
        <c:lblAlgn val="ctr"/>
        <c:lblOffset val="100"/>
        <c:noMultiLvlLbl val="0"/>
      </c:catAx>
      <c:valAx>
        <c:axId val="12819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6368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[Product-Sales-Region.xlsx]Sales dynamics!Сводная таблица17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Monthly Sales Dynamics — 2024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1.0590415673815221E-2"/>
              <c:y val="2.2352612461581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5.2952078369076956E-3"/>
              <c:y val="3.073484213467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3.9714058776806989E-3"/>
              <c:y val="2.7940765576976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5.2952078369075985E-3"/>
              <c:y val="-1.11763062307907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dynamics'!$B$23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53A-42A1-820A-676253EBD80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53A-42A1-820A-676253EBD808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53A-42A1-820A-676253EBD80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53A-42A1-820A-676253EBD808}"/>
              </c:ext>
            </c:extLst>
          </c:dPt>
          <c:dLbls>
            <c:dLbl>
              <c:idx val="1"/>
              <c:layout>
                <c:manualLayout>
                  <c:x val="-1.0590415673815221E-2"/>
                  <c:y val="2.2352612461581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3A-42A1-820A-676253EBD808}"/>
                </c:ext>
              </c:extLst>
            </c:dLbl>
            <c:dLbl>
              <c:idx val="6"/>
              <c:layout>
                <c:manualLayout>
                  <c:x val="-5.2952078369075985E-3"/>
                  <c:y val="-1.1176306230790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3A-42A1-820A-676253EBD808}"/>
                </c:ext>
              </c:extLst>
            </c:dLbl>
            <c:dLbl>
              <c:idx val="7"/>
              <c:layout>
                <c:manualLayout>
                  <c:x val="-5.2952078369076956E-3"/>
                  <c:y val="3.073484213467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3A-42A1-820A-676253EBD808}"/>
                </c:ext>
              </c:extLst>
            </c:dLbl>
            <c:dLbl>
              <c:idx val="10"/>
              <c:layout>
                <c:manualLayout>
                  <c:x val="-3.9714058776806989E-3"/>
                  <c:y val="2.79407655769767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3A-42A1-820A-676253EBD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dynamics'!$A$24:$A$36</c:f>
              <c:strCache>
                <c:ptCount val="12"/>
                <c:pt idx="0">
                  <c:v>Січ</c:v>
                </c:pt>
                <c:pt idx="1">
                  <c:v>Лют</c:v>
                </c:pt>
                <c:pt idx="2">
                  <c:v>Бер</c:v>
                </c:pt>
                <c:pt idx="3">
                  <c:v>Кві</c:v>
                </c:pt>
                <c:pt idx="4">
                  <c:v>Тра</c:v>
                </c:pt>
                <c:pt idx="5">
                  <c:v>Чер</c:v>
                </c:pt>
                <c:pt idx="6">
                  <c:v>Лип</c:v>
                </c:pt>
                <c:pt idx="7">
                  <c:v>Сер</c:v>
                </c:pt>
                <c:pt idx="8">
                  <c:v>Вер</c:v>
                </c:pt>
                <c:pt idx="9">
                  <c:v>Жов</c:v>
                </c:pt>
                <c:pt idx="10">
                  <c:v>Лис</c:v>
                </c:pt>
                <c:pt idx="11">
                  <c:v>Гру</c:v>
                </c:pt>
              </c:strCache>
            </c:strRef>
          </c:cat>
          <c:val>
            <c:numRef>
              <c:f>'Sales dynamics'!$B$24:$B$36</c:f>
              <c:numCache>
                <c:formatCode>[$€-2]\ #\ ##0.00</c:formatCode>
                <c:ptCount val="12"/>
                <c:pt idx="0">
                  <c:v>174448.6735</c:v>
                </c:pt>
                <c:pt idx="1">
                  <c:v>135515.81450000001</c:v>
                </c:pt>
                <c:pt idx="2">
                  <c:v>140348.4895</c:v>
                </c:pt>
                <c:pt idx="3">
                  <c:v>165512.26349999997</c:v>
                </c:pt>
                <c:pt idx="4">
                  <c:v>132792.53300000002</c:v>
                </c:pt>
                <c:pt idx="5">
                  <c:v>163370.087</c:v>
                </c:pt>
                <c:pt idx="6">
                  <c:v>140155.70749999996</c:v>
                </c:pt>
                <c:pt idx="7">
                  <c:v>129927.50600000001</c:v>
                </c:pt>
                <c:pt idx="8">
                  <c:v>130502.60349999998</c:v>
                </c:pt>
                <c:pt idx="9">
                  <c:v>178167.19650000002</c:v>
                </c:pt>
                <c:pt idx="10">
                  <c:v>138174.285</c:v>
                </c:pt>
                <c:pt idx="11">
                  <c:v>143039.62050000002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A-42A1-820A-676253EBD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185951"/>
        <c:axId val="128191375"/>
      </c:lineChart>
      <c:catAx>
        <c:axId val="49418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8191375"/>
        <c:crosses val="autoZero"/>
        <c:auto val="1"/>
        <c:lblAlgn val="ctr"/>
        <c:lblOffset val="100"/>
        <c:noMultiLvlLbl val="0"/>
      </c:catAx>
      <c:valAx>
        <c:axId val="1281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9418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[Product-Sales-Region.xlsx]Wholesale and retail customers !Сводная таблица4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800" b="1" i="0" u="none" strike="noStrike" baseline="0"/>
              <a:t>Wholesale vs Retail Customers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0C8B4A1-7362-43D9-A819-4DEED0214A2A}" type="VALUE">
                  <a:rPr lang="en-US"/>
                  <a:pPr>
                    <a:defRPr/>
                  </a:pPr>
                  <a:t>[ЗНАЧЕНИЕ]</a:t>
                </a:fld>
                <a:r>
                  <a:rPr lang="en-US"/>
                  <a:t>; 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63E6D07-55FF-4054-83BE-1D22F298E428}" type="VALUE">
                  <a:rPr lang="en-US"/>
                  <a:pPr>
                    <a:defRPr/>
                  </a:pPr>
                  <a:t>[ЗНАЧЕНИЕ]</a:t>
                </a:fld>
                <a:r>
                  <a:rPr lang="en-US"/>
                  <a:t>; 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'Wholesale and retail customers 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E1EA-4CF9-9936-4565D1EA7DDE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1EA-4CF9-9936-4565D1EA7DD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0C8B4A1-7362-43D9-A819-4DEED0214A2A}" type="VALUE">
                      <a:rPr lang="en-US"/>
                      <a:pPr/>
                      <a:t>[ЗНАЧЕНИЕ]</a:t>
                    </a:fld>
                    <a:r>
                      <a:rPr lang="en-US"/>
                      <a:t>; </a:t>
                    </a: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1EA-4CF9-9936-4565D1EA7D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3E6D07-55FF-4054-83BE-1D22F298E428}" type="VALUE">
                      <a:rPr lang="en-US"/>
                      <a:pPr/>
                      <a:t>[ЗНАЧЕНИЕ]</a:t>
                    </a:fld>
                    <a:r>
                      <a:rPr lang="en-US"/>
                      <a:t>; </a:t>
                    </a: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1EA-4CF9-9936-4565D1EA7D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'Wholesale and retail customers '!$A$4:$A$6</c:f>
              <c:strCache>
                <c:ptCount val="2"/>
                <c:pt idx="0">
                  <c:v>Retail</c:v>
                </c:pt>
                <c:pt idx="1">
                  <c:v>Wholesale</c:v>
                </c:pt>
              </c:strCache>
            </c:strRef>
          </c:cat>
          <c:val>
            <c:numRef>
              <c:f>'Wholesale and retail customers '!$B$4:$B$6</c:f>
              <c:numCache>
                <c:formatCode>0.00%</c:formatCode>
                <c:ptCount val="2"/>
                <c:pt idx="0">
                  <c:v>0.496</c:v>
                </c:pt>
                <c:pt idx="1">
                  <c:v>0.504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A-4CF9-9936-4565D1EA7DD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Rozrahunky!$B$1</c:f>
              <c:strCache>
                <c:ptCount val="1"/>
                <c:pt idx="0">
                  <c:v>ShippingCost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>
                    <a:shade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2">
                    <a:shade val="76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Rozrahunky!$A$2:$A$1501</c:f>
              <c:numCache>
                <c:formatCode>General</c:formatCode>
                <c:ptCount val="1500"/>
                <c:pt idx="0">
                  <c:v>2290.4</c:v>
                </c:pt>
                <c:pt idx="1">
                  <c:v>544.01</c:v>
                </c:pt>
                <c:pt idx="2">
                  <c:v>4361.8680000000004</c:v>
                </c:pt>
                <c:pt idx="3">
                  <c:v>5887.7460000000001</c:v>
                </c:pt>
                <c:pt idx="4">
                  <c:v>4279.68</c:v>
                </c:pt>
                <c:pt idx="5">
                  <c:v>654.65299999999991</c:v>
                </c:pt>
                <c:pt idx="6">
                  <c:v>110.25</c:v>
                </c:pt>
                <c:pt idx="7">
                  <c:v>842.06100000000004</c:v>
                </c:pt>
                <c:pt idx="8">
                  <c:v>1231.3140000000001</c:v>
                </c:pt>
                <c:pt idx="9">
                  <c:v>1454.76</c:v>
                </c:pt>
                <c:pt idx="10">
                  <c:v>6671.9474999999993</c:v>
                </c:pt>
                <c:pt idx="11">
                  <c:v>3545.6849999999999</c:v>
                </c:pt>
                <c:pt idx="12">
                  <c:v>114.5035</c:v>
                </c:pt>
                <c:pt idx="13">
                  <c:v>134.15549999999999</c:v>
                </c:pt>
                <c:pt idx="14">
                  <c:v>2808.8249999999998</c:v>
                </c:pt>
                <c:pt idx="15">
                  <c:v>2631.8040000000001</c:v>
                </c:pt>
                <c:pt idx="16">
                  <c:v>4486.09</c:v>
                </c:pt>
                <c:pt idx="17">
                  <c:v>5989.3130000000001</c:v>
                </c:pt>
                <c:pt idx="18">
                  <c:v>8823.6799999999985</c:v>
                </c:pt>
                <c:pt idx="19">
                  <c:v>431.62</c:v>
                </c:pt>
                <c:pt idx="20">
                  <c:v>3190.5</c:v>
                </c:pt>
                <c:pt idx="21">
                  <c:v>4160.107</c:v>
                </c:pt>
                <c:pt idx="22">
                  <c:v>5536.3</c:v>
                </c:pt>
                <c:pt idx="23">
                  <c:v>4821.7440000000006</c:v>
                </c:pt>
                <c:pt idx="24">
                  <c:v>1440.05</c:v>
                </c:pt>
                <c:pt idx="25">
                  <c:v>7309.77</c:v>
                </c:pt>
                <c:pt idx="26">
                  <c:v>101.73</c:v>
                </c:pt>
                <c:pt idx="27">
                  <c:v>1117.96</c:v>
                </c:pt>
                <c:pt idx="28">
                  <c:v>151.76750000000001</c:v>
                </c:pt>
                <c:pt idx="29">
                  <c:v>424.863</c:v>
                </c:pt>
                <c:pt idx="30">
                  <c:v>3675.48</c:v>
                </c:pt>
                <c:pt idx="31">
                  <c:v>2586.8815</c:v>
                </c:pt>
                <c:pt idx="32">
                  <c:v>389.88</c:v>
                </c:pt>
                <c:pt idx="33">
                  <c:v>8100.33</c:v>
                </c:pt>
                <c:pt idx="34">
                  <c:v>1903.048</c:v>
                </c:pt>
                <c:pt idx="35">
                  <c:v>1149.96</c:v>
                </c:pt>
                <c:pt idx="36">
                  <c:v>2934.4454999999998</c:v>
                </c:pt>
                <c:pt idx="37">
                  <c:v>1791.0094999999999</c:v>
                </c:pt>
                <c:pt idx="38">
                  <c:v>5394.4380000000001</c:v>
                </c:pt>
                <c:pt idx="39">
                  <c:v>855.57599999999991</c:v>
                </c:pt>
                <c:pt idx="40">
                  <c:v>2116.44</c:v>
                </c:pt>
                <c:pt idx="41">
                  <c:v>1238.23</c:v>
                </c:pt>
                <c:pt idx="42">
                  <c:v>434.04</c:v>
                </c:pt>
                <c:pt idx="43">
                  <c:v>1561.654</c:v>
                </c:pt>
                <c:pt idx="44">
                  <c:v>790.51400000000001</c:v>
                </c:pt>
                <c:pt idx="45">
                  <c:v>4841.28</c:v>
                </c:pt>
                <c:pt idx="46">
                  <c:v>309.76549999999997</c:v>
                </c:pt>
                <c:pt idx="47">
                  <c:v>3961.136</c:v>
                </c:pt>
                <c:pt idx="48">
                  <c:v>743.17500000000007</c:v>
                </c:pt>
                <c:pt idx="49">
                  <c:v>2889.558</c:v>
                </c:pt>
                <c:pt idx="50">
                  <c:v>772.08299999999997</c:v>
                </c:pt>
                <c:pt idx="51">
                  <c:v>503.38</c:v>
                </c:pt>
                <c:pt idx="52">
                  <c:v>242.46899999999999</c:v>
                </c:pt>
                <c:pt idx="53">
                  <c:v>705.47</c:v>
                </c:pt>
                <c:pt idx="54">
                  <c:v>2695.0439999999999</c:v>
                </c:pt>
                <c:pt idx="55">
                  <c:v>2432.2375000000002</c:v>
                </c:pt>
                <c:pt idx="56">
                  <c:v>2113.7460000000001</c:v>
                </c:pt>
                <c:pt idx="57">
                  <c:v>451.71</c:v>
                </c:pt>
                <c:pt idx="58">
                  <c:v>3923.766000000001</c:v>
                </c:pt>
                <c:pt idx="59">
                  <c:v>5418.8190000000004</c:v>
                </c:pt>
                <c:pt idx="60">
                  <c:v>5016.0200000000004</c:v>
                </c:pt>
                <c:pt idx="61">
                  <c:v>2413.44</c:v>
                </c:pt>
                <c:pt idx="62">
                  <c:v>1283.5530000000001</c:v>
                </c:pt>
                <c:pt idx="63">
                  <c:v>642.6</c:v>
                </c:pt>
                <c:pt idx="64">
                  <c:v>7667.55</c:v>
                </c:pt>
                <c:pt idx="65">
                  <c:v>179.76599999999999</c:v>
                </c:pt>
                <c:pt idx="66">
                  <c:v>2329.9699999999998</c:v>
                </c:pt>
                <c:pt idx="67">
                  <c:v>3085.2959999999998</c:v>
                </c:pt>
                <c:pt idx="68">
                  <c:v>143.46899999999999</c:v>
                </c:pt>
                <c:pt idx="69">
                  <c:v>523.46400000000006</c:v>
                </c:pt>
                <c:pt idx="70">
                  <c:v>4186.59</c:v>
                </c:pt>
                <c:pt idx="71">
                  <c:v>9864.18</c:v>
                </c:pt>
                <c:pt idx="72">
                  <c:v>5982.9575000000004</c:v>
                </c:pt>
                <c:pt idx="73">
                  <c:v>2418.6239999999998</c:v>
                </c:pt>
                <c:pt idx="74">
                  <c:v>483.53100000000001</c:v>
                </c:pt>
                <c:pt idx="75">
                  <c:v>4985.1899999999996</c:v>
                </c:pt>
                <c:pt idx="76">
                  <c:v>5613.5519999999997</c:v>
                </c:pt>
                <c:pt idx="77">
                  <c:v>2344.2150000000001</c:v>
                </c:pt>
                <c:pt idx="78">
                  <c:v>3138.2</c:v>
                </c:pt>
                <c:pt idx="79">
                  <c:v>6686.67</c:v>
                </c:pt>
                <c:pt idx="80">
                  <c:v>318.25</c:v>
                </c:pt>
                <c:pt idx="81">
                  <c:v>1772.0374999999999</c:v>
                </c:pt>
                <c:pt idx="82">
                  <c:v>2435.5529999999999</c:v>
                </c:pt>
                <c:pt idx="83">
                  <c:v>6990.24</c:v>
                </c:pt>
                <c:pt idx="84">
                  <c:v>2202.52</c:v>
                </c:pt>
                <c:pt idx="85">
                  <c:v>7340.94</c:v>
                </c:pt>
                <c:pt idx="86">
                  <c:v>237.75</c:v>
                </c:pt>
                <c:pt idx="87">
                  <c:v>9870.1200000000008</c:v>
                </c:pt>
                <c:pt idx="88">
                  <c:v>7992.616</c:v>
                </c:pt>
                <c:pt idx="89">
                  <c:v>5862.165</c:v>
                </c:pt>
                <c:pt idx="90">
                  <c:v>9575.1450000000004</c:v>
                </c:pt>
                <c:pt idx="91">
                  <c:v>1367.24</c:v>
                </c:pt>
                <c:pt idx="92">
                  <c:v>5040.329999999999</c:v>
                </c:pt>
                <c:pt idx="93">
                  <c:v>4629.8999999999996</c:v>
                </c:pt>
                <c:pt idx="94">
                  <c:v>3060.596</c:v>
                </c:pt>
                <c:pt idx="95">
                  <c:v>4998.7479999999996</c:v>
                </c:pt>
                <c:pt idx="96">
                  <c:v>307.63850000000002</c:v>
                </c:pt>
                <c:pt idx="97">
                  <c:v>5030.7</c:v>
                </c:pt>
                <c:pt idx="98">
                  <c:v>8358.56</c:v>
                </c:pt>
                <c:pt idx="99">
                  <c:v>7565.4674999999997</c:v>
                </c:pt>
                <c:pt idx="100">
                  <c:v>3756.4560000000001</c:v>
                </c:pt>
                <c:pt idx="101">
                  <c:v>663</c:v>
                </c:pt>
                <c:pt idx="102">
                  <c:v>1074.165</c:v>
                </c:pt>
                <c:pt idx="103">
                  <c:v>1698.6</c:v>
                </c:pt>
                <c:pt idx="104">
                  <c:v>2222.297</c:v>
                </c:pt>
                <c:pt idx="105">
                  <c:v>520.70399999999995</c:v>
                </c:pt>
                <c:pt idx="106">
                  <c:v>140.48599999999999</c:v>
                </c:pt>
                <c:pt idx="107">
                  <c:v>6616.6559999999999</c:v>
                </c:pt>
                <c:pt idx="108">
                  <c:v>504.15</c:v>
                </c:pt>
                <c:pt idx="109">
                  <c:v>446.72599999999989</c:v>
                </c:pt>
                <c:pt idx="110">
                  <c:v>604.64</c:v>
                </c:pt>
                <c:pt idx="111">
                  <c:v>1202.2739999999999</c:v>
                </c:pt>
                <c:pt idx="112">
                  <c:v>531.95249999999987</c:v>
                </c:pt>
                <c:pt idx="113">
                  <c:v>8216.4060000000009</c:v>
                </c:pt>
                <c:pt idx="114">
                  <c:v>1078</c:v>
                </c:pt>
                <c:pt idx="115">
                  <c:v>3771</c:v>
                </c:pt>
                <c:pt idx="116">
                  <c:v>2512.6559999999999</c:v>
                </c:pt>
                <c:pt idx="117">
                  <c:v>549.36599999999999</c:v>
                </c:pt>
                <c:pt idx="118">
                  <c:v>1984.65</c:v>
                </c:pt>
                <c:pt idx="119">
                  <c:v>4831.415</c:v>
                </c:pt>
                <c:pt idx="120">
                  <c:v>2570.1390000000001</c:v>
                </c:pt>
                <c:pt idx="121">
                  <c:v>2819.61</c:v>
                </c:pt>
                <c:pt idx="122">
                  <c:v>479.56499999999988</c:v>
                </c:pt>
                <c:pt idx="123">
                  <c:v>92.649999999999991</c:v>
                </c:pt>
                <c:pt idx="124">
                  <c:v>2590.4</c:v>
                </c:pt>
                <c:pt idx="125">
                  <c:v>5841.6639999999998</c:v>
                </c:pt>
                <c:pt idx="126">
                  <c:v>2228.4960000000001</c:v>
                </c:pt>
                <c:pt idx="127">
                  <c:v>117.05</c:v>
                </c:pt>
                <c:pt idx="128">
                  <c:v>8311.2999999999993</c:v>
                </c:pt>
                <c:pt idx="129">
                  <c:v>3009.5239999999999</c:v>
                </c:pt>
                <c:pt idx="130">
                  <c:v>5117.6400000000003</c:v>
                </c:pt>
                <c:pt idx="131">
                  <c:v>6197.0999999999995</c:v>
                </c:pt>
                <c:pt idx="132">
                  <c:v>5633.28</c:v>
                </c:pt>
                <c:pt idx="133">
                  <c:v>3308.6410000000001</c:v>
                </c:pt>
                <c:pt idx="134">
                  <c:v>2148.1019999999999</c:v>
                </c:pt>
                <c:pt idx="135">
                  <c:v>2790.72</c:v>
                </c:pt>
                <c:pt idx="136">
                  <c:v>3592.9854999999998</c:v>
                </c:pt>
                <c:pt idx="137">
                  <c:v>2271.951</c:v>
                </c:pt>
                <c:pt idx="138">
                  <c:v>811.98400000000004</c:v>
                </c:pt>
                <c:pt idx="139">
                  <c:v>842.66899999999998</c:v>
                </c:pt>
                <c:pt idx="140">
                  <c:v>3100.9614999999999</c:v>
                </c:pt>
                <c:pt idx="141">
                  <c:v>4604.0929999999998</c:v>
                </c:pt>
                <c:pt idx="142">
                  <c:v>6484.2800000000007</c:v>
                </c:pt>
                <c:pt idx="143">
                  <c:v>2338.4520000000002</c:v>
                </c:pt>
                <c:pt idx="144">
                  <c:v>654.64</c:v>
                </c:pt>
                <c:pt idx="145">
                  <c:v>7820.6374999999998</c:v>
                </c:pt>
                <c:pt idx="146">
                  <c:v>3081.24</c:v>
                </c:pt>
                <c:pt idx="147">
                  <c:v>5085.4139999999998</c:v>
                </c:pt>
                <c:pt idx="148">
                  <c:v>3005.895</c:v>
                </c:pt>
                <c:pt idx="149">
                  <c:v>3445.2</c:v>
                </c:pt>
                <c:pt idx="150">
                  <c:v>985.03950000000009</c:v>
                </c:pt>
                <c:pt idx="151">
                  <c:v>1129.95</c:v>
                </c:pt>
                <c:pt idx="152">
                  <c:v>5313.52</c:v>
                </c:pt>
                <c:pt idx="153">
                  <c:v>5357.0595000000003</c:v>
                </c:pt>
                <c:pt idx="154">
                  <c:v>3186.6</c:v>
                </c:pt>
                <c:pt idx="155">
                  <c:v>551.13299999999992</c:v>
                </c:pt>
                <c:pt idx="156">
                  <c:v>1424.979</c:v>
                </c:pt>
                <c:pt idx="157">
                  <c:v>4075.26</c:v>
                </c:pt>
                <c:pt idx="158">
                  <c:v>2800.96</c:v>
                </c:pt>
                <c:pt idx="159">
                  <c:v>1854.97</c:v>
                </c:pt>
                <c:pt idx="160">
                  <c:v>3784.3</c:v>
                </c:pt>
                <c:pt idx="161">
                  <c:v>478.99200000000002</c:v>
                </c:pt>
                <c:pt idx="162">
                  <c:v>79.599999999999994</c:v>
                </c:pt>
                <c:pt idx="163">
                  <c:v>1634.992</c:v>
                </c:pt>
                <c:pt idx="164">
                  <c:v>1241.46</c:v>
                </c:pt>
                <c:pt idx="165">
                  <c:v>832.05000000000007</c:v>
                </c:pt>
                <c:pt idx="166">
                  <c:v>8806.69</c:v>
                </c:pt>
                <c:pt idx="167">
                  <c:v>1893.2550000000001</c:v>
                </c:pt>
                <c:pt idx="168">
                  <c:v>6521.75</c:v>
                </c:pt>
                <c:pt idx="169">
                  <c:v>485.72399999999988</c:v>
                </c:pt>
                <c:pt idx="170">
                  <c:v>1294.28</c:v>
                </c:pt>
                <c:pt idx="171">
                  <c:v>1774.548</c:v>
                </c:pt>
                <c:pt idx="172">
                  <c:v>2926.62</c:v>
                </c:pt>
                <c:pt idx="173">
                  <c:v>9227.94</c:v>
                </c:pt>
                <c:pt idx="174">
                  <c:v>2759.483999999999</c:v>
                </c:pt>
                <c:pt idx="175">
                  <c:v>8525.2619999999988</c:v>
                </c:pt>
                <c:pt idx="176">
                  <c:v>744.14449999999988</c:v>
                </c:pt>
                <c:pt idx="177">
                  <c:v>3888.56</c:v>
                </c:pt>
                <c:pt idx="178">
                  <c:v>2997.1619999999998</c:v>
                </c:pt>
                <c:pt idx="179">
                  <c:v>5474.04</c:v>
                </c:pt>
                <c:pt idx="180">
                  <c:v>1096.848</c:v>
                </c:pt>
                <c:pt idx="181">
                  <c:v>1359.585</c:v>
                </c:pt>
                <c:pt idx="182">
                  <c:v>157.80000000000001</c:v>
                </c:pt>
                <c:pt idx="183">
                  <c:v>1108.384</c:v>
                </c:pt>
                <c:pt idx="184">
                  <c:v>7215.0029999999997</c:v>
                </c:pt>
                <c:pt idx="185">
                  <c:v>6458.5350000000008</c:v>
                </c:pt>
                <c:pt idx="186">
                  <c:v>4515.66</c:v>
                </c:pt>
                <c:pt idx="187">
                  <c:v>1472.8035</c:v>
                </c:pt>
                <c:pt idx="188">
                  <c:v>900.20099999999991</c:v>
                </c:pt>
                <c:pt idx="189">
                  <c:v>286.86</c:v>
                </c:pt>
                <c:pt idx="190">
                  <c:v>6138.9</c:v>
                </c:pt>
                <c:pt idx="191">
                  <c:v>435.85</c:v>
                </c:pt>
                <c:pt idx="192">
                  <c:v>3139.4160000000002</c:v>
                </c:pt>
                <c:pt idx="193">
                  <c:v>728.53499999999997</c:v>
                </c:pt>
                <c:pt idx="194">
                  <c:v>1899.954</c:v>
                </c:pt>
                <c:pt idx="195">
                  <c:v>1160.46</c:v>
                </c:pt>
                <c:pt idx="196">
                  <c:v>2961.0720000000001</c:v>
                </c:pt>
                <c:pt idx="197">
                  <c:v>1736.7</c:v>
                </c:pt>
                <c:pt idx="198">
                  <c:v>1313.604</c:v>
                </c:pt>
                <c:pt idx="199">
                  <c:v>6723.6480000000001</c:v>
                </c:pt>
                <c:pt idx="200">
                  <c:v>2670.8870000000002</c:v>
                </c:pt>
                <c:pt idx="201">
                  <c:v>234.94</c:v>
                </c:pt>
                <c:pt idx="202">
                  <c:v>3532.6934999999999</c:v>
                </c:pt>
                <c:pt idx="203">
                  <c:v>3767.3960000000002</c:v>
                </c:pt>
                <c:pt idx="204">
                  <c:v>3782.5680000000002</c:v>
                </c:pt>
                <c:pt idx="205">
                  <c:v>1102.3610000000001</c:v>
                </c:pt>
                <c:pt idx="206">
                  <c:v>4291.4399999999996</c:v>
                </c:pt>
                <c:pt idx="207">
                  <c:v>94.33</c:v>
                </c:pt>
                <c:pt idx="208">
                  <c:v>7055.1360000000004</c:v>
                </c:pt>
                <c:pt idx="209">
                  <c:v>2096.498</c:v>
                </c:pt>
                <c:pt idx="210">
                  <c:v>8605.9865000000009</c:v>
                </c:pt>
                <c:pt idx="211">
                  <c:v>162.108</c:v>
                </c:pt>
                <c:pt idx="212">
                  <c:v>3075.3</c:v>
                </c:pt>
                <c:pt idx="213">
                  <c:v>4650.3499999999995</c:v>
                </c:pt>
                <c:pt idx="214">
                  <c:v>1010.124</c:v>
                </c:pt>
                <c:pt idx="215">
                  <c:v>9000.32</c:v>
                </c:pt>
                <c:pt idx="216">
                  <c:v>306.57600000000002</c:v>
                </c:pt>
                <c:pt idx="217">
                  <c:v>4605.402</c:v>
                </c:pt>
                <c:pt idx="218">
                  <c:v>220.8895</c:v>
                </c:pt>
                <c:pt idx="219">
                  <c:v>5096.75</c:v>
                </c:pt>
                <c:pt idx="220">
                  <c:v>2661.3</c:v>
                </c:pt>
                <c:pt idx="221">
                  <c:v>8431.3259999999991</c:v>
                </c:pt>
                <c:pt idx="222">
                  <c:v>139.916</c:v>
                </c:pt>
                <c:pt idx="223">
                  <c:v>4217.1899999999996</c:v>
                </c:pt>
                <c:pt idx="224">
                  <c:v>7630.875</c:v>
                </c:pt>
                <c:pt idx="225">
                  <c:v>492.48149999999998</c:v>
                </c:pt>
                <c:pt idx="226">
                  <c:v>5777.96</c:v>
                </c:pt>
                <c:pt idx="227">
                  <c:v>5883.768</c:v>
                </c:pt>
                <c:pt idx="228">
                  <c:v>215.73</c:v>
                </c:pt>
                <c:pt idx="229">
                  <c:v>10949.7</c:v>
                </c:pt>
                <c:pt idx="230">
                  <c:v>844.19999999999993</c:v>
                </c:pt>
                <c:pt idx="231">
                  <c:v>731.04399999999998</c:v>
                </c:pt>
                <c:pt idx="232">
                  <c:v>6266.5609999999997</c:v>
                </c:pt>
                <c:pt idx="233">
                  <c:v>257.94000000000011</c:v>
                </c:pt>
                <c:pt idx="234">
                  <c:v>7644.0329999999994</c:v>
                </c:pt>
                <c:pt idx="235">
                  <c:v>205.75800000000001</c:v>
                </c:pt>
                <c:pt idx="236">
                  <c:v>6944.9589999999998</c:v>
                </c:pt>
                <c:pt idx="237">
                  <c:v>2640.24</c:v>
                </c:pt>
                <c:pt idx="238">
                  <c:v>2819.2860000000001</c:v>
                </c:pt>
                <c:pt idx="239">
                  <c:v>2831.895</c:v>
                </c:pt>
                <c:pt idx="240">
                  <c:v>651.67999999999995</c:v>
                </c:pt>
                <c:pt idx="241">
                  <c:v>5150.42</c:v>
                </c:pt>
                <c:pt idx="242">
                  <c:v>370.38600000000002</c:v>
                </c:pt>
                <c:pt idx="243">
                  <c:v>1657.37</c:v>
                </c:pt>
                <c:pt idx="244">
                  <c:v>2985.4549999999999</c:v>
                </c:pt>
                <c:pt idx="245">
                  <c:v>6944.3639999999996</c:v>
                </c:pt>
                <c:pt idx="246">
                  <c:v>236.03399999999999</c:v>
                </c:pt>
                <c:pt idx="247">
                  <c:v>3570.66</c:v>
                </c:pt>
                <c:pt idx="248">
                  <c:v>2944.962</c:v>
                </c:pt>
                <c:pt idx="249">
                  <c:v>1154.6489999999999</c:v>
                </c:pt>
                <c:pt idx="250">
                  <c:v>3383.0680000000002</c:v>
                </c:pt>
                <c:pt idx="251">
                  <c:v>4420.1190000000006</c:v>
                </c:pt>
                <c:pt idx="252">
                  <c:v>6072.66</c:v>
                </c:pt>
                <c:pt idx="253">
                  <c:v>369.79199999999997</c:v>
                </c:pt>
                <c:pt idx="254">
                  <c:v>1908.2</c:v>
                </c:pt>
                <c:pt idx="255">
                  <c:v>3377.58</c:v>
                </c:pt>
                <c:pt idx="256">
                  <c:v>365.8</c:v>
                </c:pt>
                <c:pt idx="257">
                  <c:v>1462.02</c:v>
                </c:pt>
                <c:pt idx="258">
                  <c:v>3766.1039999999998</c:v>
                </c:pt>
                <c:pt idx="259">
                  <c:v>299.04700000000003</c:v>
                </c:pt>
                <c:pt idx="260">
                  <c:v>636.803</c:v>
                </c:pt>
                <c:pt idx="261">
                  <c:v>2945.88</c:v>
                </c:pt>
                <c:pt idx="262">
                  <c:v>1072.2840000000001</c:v>
                </c:pt>
                <c:pt idx="263">
                  <c:v>1826.37</c:v>
                </c:pt>
                <c:pt idx="264">
                  <c:v>1291.1415</c:v>
                </c:pt>
                <c:pt idx="265">
                  <c:v>1054.348</c:v>
                </c:pt>
                <c:pt idx="266">
                  <c:v>686.10300000000007</c:v>
                </c:pt>
                <c:pt idx="267">
                  <c:v>6428.9159999999993</c:v>
                </c:pt>
                <c:pt idx="268">
                  <c:v>4846.2299999999996</c:v>
                </c:pt>
                <c:pt idx="269">
                  <c:v>6823.4400000000014</c:v>
                </c:pt>
                <c:pt idx="270">
                  <c:v>1061.106</c:v>
                </c:pt>
                <c:pt idx="271">
                  <c:v>7389.6450000000004</c:v>
                </c:pt>
                <c:pt idx="272">
                  <c:v>1848.155</c:v>
                </c:pt>
                <c:pt idx="273">
                  <c:v>6785.1374999999998</c:v>
                </c:pt>
                <c:pt idx="274">
                  <c:v>400.63499999999999</c:v>
                </c:pt>
                <c:pt idx="275">
                  <c:v>105.264</c:v>
                </c:pt>
                <c:pt idx="276">
                  <c:v>1918.404</c:v>
                </c:pt>
                <c:pt idx="277">
                  <c:v>2122.2719999999999</c:v>
                </c:pt>
                <c:pt idx="278">
                  <c:v>971.04</c:v>
                </c:pt>
                <c:pt idx="279">
                  <c:v>1007.3339999999999</c:v>
                </c:pt>
                <c:pt idx="280">
                  <c:v>837.57600000000002</c:v>
                </c:pt>
                <c:pt idx="281">
                  <c:v>1962.395</c:v>
                </c:pt>
                <c:pt idx="282">
                  <c:v>2105.7049999999999</c:v>
                </c:pt>
                <c:pt idx="283">
                  <c:v>6732.84</c:v>
                </c:pt>
                <c:pt idx="284">
                  <c:v>3337.335</c:v>
                </c:pt>
                <c:pt idx="285">
                  <c:v>4637.8620000000001</c:v>
                </c:pt>
                <c:pt idx="286">
                  <c:v>3195.24</c:v>
                </c:pt>
                <c:pt idx="287">
                  <c:v>4481.7440000000006</c:v>
                </c:pt>
                <c:pt idx="288">
                  <c:v>1020.6</c:v>
                </c:pt>
                <c:pt idx="289">
                  <c:v>3437.2044999999998</c:v>
                </c:pt>
                <c:pt idx="290">
                  <c:v>2894.6</c:v>
                </c:pt>
                <c:pt idx="291">
                  <c:v>1233.684</c:v>
                </c:pt>
                <c:pt idx="292">
                  <c:v>6258.36</c:v>
                </c:pt>
                <c:pt idx="293">
                  <c:v>7561.2684999999992</c:v>
                </c:pt>
                <c:pt idx="294">
                  <c:v>67.396500000000003</c:v>
                </c:pt>
                <c:pt idx="295">
                  <c:v>2657.61</c:v>
                </c:pt>
                <c:pt idx="296">
                  <c:v>2609.190000000001</c:v>
                </c:pt>
                <c:pt idx="297">
                  <c:v>405.46949999999998</c:v>
                </c:pt>
                <c:pt idx="298">
                  <c:v>5045.7824999999993</c:v>
                </c:pt>
                <c:pt idx="299">
                  <c:v>7171.4</c:v>
                </c:pt>
                <c:pt idx="300">
                  <c:v>504.33600000000001</c:v>
                </c:pt>
                <c:pt idx="301">
                  <c:v>248.8</c:v>
                </c:pt>
                <c:pt idx="302">
                  <c:v>191.80799999999999</c:v>
                </c:pt>
                <c:pt idx="303">
                  <c:v>4699.2079999999996</c:v>
                </c:pt>
                <c:pt idx="304">
                  <c:v>5600.4779999999992</c:v>
                </c:pt>
                <c:pt idx="305">
                  <c:v>2360.79</c:v>
                </c:pt>
                <c:pt idx="306">
                  <c:v>1436.16</c:v>
                </c:pt>
                <c:pt idx="307">
                  <c:v>5889.07</c:v>
                </c:pt>
                <c:pt idx="308">
                  <c:v>126.19799999999999</c:v>
                </c:pt>
                <c:pt idx="309">
                  <c:v>6065.02</c:v>
                </c:pt>
                <c:pt idx="310">
                  <c:v>8539.2000000000007</c:v>
                </c:pt>
                <c:pt idx="311">
                  <c:v>3233.9520000000002</c:v>
                </c:pt>
                <c:pt idx="312">
                  <c:v>8447.0959999999995</c:v>
                </c:pt>
                <c:pt idx="313">
                  <c:v>6398.7999999999993</c:v>
                </c:pt>
                <c:pt idx="314">
                  <c:v>404.5575</c:v>
                </c:pt>
                <c:pt idx="315">
                  <c:v>358.20699999999999</c:v>
                </c:pt>
                <c:pt idx="316">
                  <c:v>2478.357</c:v>
                </c:pt>
                <c:pt idx="317">
                  <c:v>1482.39</c:v>
                </c:pt>
                <c:pt idx="318">
                  <c:v>6056.64</c:v>
                </c:pt>
                <c:pt idx="319">
                  <c:v>186.96600000000001</c:v>
                </c:pt>
                <c:pt idx="320">
                  <c:v>4015.079999999999</c:v>
                </c:pt>
                <c:pt idx="321">
                  <c:v>2354.0335</c:v>
                </c:pt>
                <c:pt idx="322">
                  <c:v>153.30000000000001</c:v>
                </c:pt>
                <c:pt idx="323">
                  <c:v>6707.1120000000001</c:v>
                </c:pt>
                <c:pt idx="324">
                  <c:v>6631.9119999999994</c:v>
                </c:pt>
                <c:pt idx="325">
                  <c:v>1880.4014999999999</c:v>
                </c:pt>
                <c:pt idx="326">
                  <c:v>1322.6849999999999</c:v>
                </c:pt>
                <c:pt idx="327">
                  <c:v>1861.704</c:v>
                </c:pt>
                <c:pt idx="328">
                  <c:v>403.07850000000002</c:v>
                </c:pt>
                <c:pt idx="329">
                  <c:v>3521.3939999999998</c:v>
                </c:pt>
                <c:pt idx="330">
                  <c:v>1117.53</c:v>
                </c:pt>
                <c:pt idx="331">
                  <c:v>713.41200000000003</c:v>
                </c:pt>
                <c:pt idx="332">
                  <c:v>2469.402</c:v>
                </c:pt>
                <c:pt idx="333">
                  <c:v>622.09</c:v>
                </c:pt>
                <c:pt idx="334">
                  <c:v>1207.6400000000001</c:v>
                </c:pt>
                <c:pt idx="335">
                  <c:v>1945.575</c:v>
                </c:pt>
                <c:pt idx="336">
                  <c:v>10649.5</c:v>
                </c:pt>
                <c:pt idx="337">
                  <c:v>1497.375</c:v>
                </c:pt>
                <c:pt idx="338">
                  <c:v>552.93299999999999</c:v>
                </c:pt>
                <c:pt idx="339">
                  <c:v>9384.32</c:v>
                </c:pt>
                <c:pt idx="340">
                  <c:v>1677.28</c:v>
                </c:pt>
                <c:pt idx="341">
                  <c:v>8618.112000000001</c:v>
                </c:pt>
                <c:pt idx="342">
                  <c:v>2795.9639999999999</c:v>
                </c:pt>
                <c:pt idx="343">
                  <c:v>2833.4749999999999</c:v>
                </c:pt>
                <c:pt idx="344">
                  <c:v>2727.9360000000001</c:v>
                </c:pt>
                <c:pt idx="345">
                  <c:v>1928.88</c:v>
                </c:pt>
                <c:pt idx="346">
                  <c:v>649.08900000000006</c:v>
                </c:pt>
                <c:pt idx="347">
                  <c:v>965.78700000000003</c:v>
                </c:pt>
                <c:pt idx="348">
                  <c:v>408.15</c:v>
                </c:pt>
                <c:pt idx="349">
                  <c:v>729.26</c:v>
                </c:pt>
                <c:pt idx="350">
                  <c:v>3990.07</c:v>
                </c:pt>
                <c:pt idx="351">
                  <c:v>9998.3700000000008</c:v>
                </c:pt>
                <c:pt idx="352">
                  <c:v>2002.6679999999999</c:v>
                </c:pt>
                <c:pt idx="353">
                  <c:v>7665.4169999999986</c:v>
                </c:pt>
                <c:pt idx="354">
                  <c:v>8933.3639999999996</c:v>
                </c:pt>
                <c:pt idx="355">
                  <c:v>175.5</c:v>
                </c:pt>
                <c:pt idx="356">
                  <c:v>5722.7439999999997</c:v>
                </c:pt>
                <c:pt idx="357">
                  <c:v>6671.3399999999992</c:v>
                </c:pt>
                <c:pt idx="358">
                  <c:v>8133.4440000000004</c:v>
                </c:pt>
                <c:pt idx="359">
                  <c:v>2788.578</c:v>
                </c:pt>
                <c:pt idx="360">
                  <c:v>3591.3780000000002</c:v>
                </c:pt>
                <c:pt idx="361">
                  <c:v>26.22</c:v>
                </c:pt>
                <c:pt idx="362">
                  <c:v>6419.25</c:v>
                </c:pt>
                <c:pt idx="363">
                  <c:v>2417.94</c:v>
                </c:pt>
                <c:pt idx="364">
                  <c:v>2994.951</c:v>
                </c:pt>
                <c:pt idx="365">
                  <c:v>1723.5450000000001</c:v>
                </c:pt>
                <c:pt idx="366">
                  <c:v>8265.57</c:v>
                </c:pt>
                <c:pt idx="367">
                  <c:v>2112.268</c:v>
                </c:pt>
                <c:pt idx="368">
                  <c:v>2888.76</c:v>
                </c:pt>
                <c:pt idx="369">
                  <c:v>1414.8</c:v>
                </c:pt>
                <c:pt idx="370">
                  <c:v>447.75</c:v>
                </c:pt>
                <c:pt idx="371">
                  <c:v>2675.1239999999998</c:v>
                </c:pt>
                <c:pt idx="372">
                  <c:v>1692.32</c:v>
                </c:pt>
                <c:pt idx="373">
                  <c:v>3409.8</c:v>
                </c:pt>
                <c:pt idx="374">
                  <c:v>1481.7329999999999</c:v>
                </c:pt>
                <c:pt idx="375">
                  <c:v>156.20400000000001</c:v>
                </c:pt>
                <c:pt idx="376">
                  <c:v>2324.5075000000002</c:v>
                </c:pt>
                <c:pt idx="377">
                  <c:v>2206.2600000000002</c:v>
                </c:pt>
                <c:pt idx="378">
                  <c:v>401.92599999999999</c:v>
                </c:pt>
                <c:pt idx="379">
                  <c:v>5455.7929999999997</c:v>
                </c:pt>
                <c:pt idx="380">
                  <c:v>2147.355</c:v>
                </c:pt>
                <c:pt idx="381">
                  <c:v>234.95400000000001</c:v>
                </c:pt>
                <c:pt idx="382">
                  <c:v>70.224000000000004</c:v>
                </c:pt>
                <c:pt idx="383">
                  <c:v>502.88400000000001</c:v>
                </c:pt>
                <c:pt idx="384">
                  <c:v>1683.18</c:v>
                </c:pt>
                <c:pt idx="385">
                  <c:v>7294.2899999999991</c:v>
                </c:pt>
                <c:pt idx="386">
                  <c:v>3259.7</c:v>
                </c:pt>
                <c:pt idx="387">
                  <c:v>7978.44</c:v>
                </c:pt>
                <c:pt idx="388">
                  <c:v>2426.9699999999998</c:v>
                </c:pt>
                <c:pt idx="389">
                  <c:v>526.83199999999988</c:v>
                </c:pt>
                <c:pt idx="390">
                  <c:v>2372.1120000000001</c:v>
                </c:pt>
                <c:pt idx="391">
                  <c:v>264.48</c:v>
                </c:pt>
                <c:pt idx="392">
                  <c:v>608.74450000000002</c:v>
                </c:pt>
                <c:pt idx="393">
                  <c:v>2277.5155</c:v>
                </c:pt>
                <c:pt idx="394">
                  <c:v>6442.253999999999</c:v>
                </c:pt>
                <c:pt idx="395">
                  <c:v>2697.42</c:v>
                </c:pt>
                <c:pt idx="396">
                  <c:v>2007.09</c:v>
                </c:pt>
                <c:pt idx="397">
                  <c:v>3473.7289999999998</c:v>
                </c:pt>
                <c:pt idx="398">
                  <c:v>1181.18</c:v>
                </c:pt>
                <c:pt idx="399">
                  <c:v>436.2</c:v>
                </c:pt>
                <c:pt idx="400">
                  <c:v>2947.2</c:v>
                </c:pt>
                <c:pt idx="401">
                  <c:v>5700.45</c:v>
                </c:pt>
                <c:pt idx="402">
                  <c:v>1190.1030000000001</c:v>
                </c:pt>
                <c:pt idx="403">
                  <c:v>5510.1674999999996</c:v>
                </c:pt>
                <c:pt idx="404">
                  <c:v>6221.7090000000007</c:v>
                </c:pt>
                <c:pt idx="405">
                  <c:v>5470.9264999999996</c:v>
                </c:pt>
                <c:pt idx="406">
                  <c:v>7377.5</c:v>
                </c:pt>
                <c:pt idx="407">
                  <c:v>7042.7999999999993</c:v>
                </c:pt>
                <c:pt idx="408">
                  <c:v>336.67649999999998</c:v>
                </c:pt>
                <c:pt idx="409">
                  <c:v>2231.3220000000001</c:v>
                </c:pt>
                <c:pt idx="410">
                  <c:v>1752.02</c:v>
                </c:pt>
                <c:pt idx="411">
                  <c:v>5221.9749999999995</c:v>
                </c:pt>
                <c:pt idx="412">
                  <c:v>596.15599999999995</c:v>
                </c:pt>
                <c:pt idx="413">
                  <c:v>9095.8700000000008</c:v>
                </c:pt>
                <c:pt idx="414">
                  <c:v>1552.865</c:v>
                </c:pt>
                <c:pt idx="415">
                  <c:v>3377.3049999999998</c:v>
                </c:pt>
                <c:pt idx="416">
                  <c:v>3687.453</c:v>
                </c:pt>
                <c:pt idx="417">
                  <c:v>1397.4</c:v>
                </c:pt>
                <c:pt idx="418">
                  <c:v>2459.0880000000002</c:v>
                </c:pt>
                <c:pt idx="419">
                  <c:v>6.9699999999999989</c:v>
                </c:pt>
                <c:pt idx="420">
                  <c:v>4598.424</c:v>
                </c:pt>
                <c:pt idx="421">
                  <c:v>2180.52</c:v>
                </c:pt>
                <c:pt idx="422">
                  <c:v>8514.4699999999993</c:v>
                </c:pt>
                <c:pt idx="423">
                  <c:v>56.231999999999999</c:v>
                </c:pt>
                <c:pt idx="424">
                  <c:v>3091.7559999999999</c:v>
                </c:pt>
                <c:pt idx="425">
                  <c:v>1042.0999999999999</c:v>
                </c:pt>
                <c:pt idx="426">
                  <c:v>2360.6965</c:v>
                </c:pt>
                <c:pt idx="427">
                  <c:v>8175.4400000000014</c:v>
                </c:pt>
                <c:pt idx="428">
                  <c:v>2607.5520000000001</c:v>
                </c:pt>
                <c:pt idx="429">
                  <c:v>3319.52</c:v>
                </c:pt>
                <c:pt idx="430">
                  <c:v>7075.52</c:v>
                </c:pt>
                <c:pt idx="431">
                  <c:v>7501.9139999999998</c:v>
                </c:pt>
                <c:pt idx="432">
                  <c:v>894.03000000000009</c:v>
                </c:pt>
                <c:pt idx="433">
                  <c:v>1901.5605</c:v>
                </c:pt>
                <c:pt idx="434">
                  <c:v>6461.8274999999994</c:v>
                </c:pt>
                <c:pt idx="435">
                  <c:v>8689.9920000000002</c:v>
                </c:pt>
                <c:pt idx="436">
                  <c:v>3005.44</c:v>
                </c:pt>
                <c:pt idx="437">
                  <c:v>6522.39</c:v>
                </c:pt>
                <c:pt idx="438">
                  <c:v>448.51499999999999</c:v>
                </c:pt>
                <c:pt idx="439">
                  <c:v>6962.2460000000001</c:v>
                </c:pt>
                <c:pt idx="440">
                  <c:v>146.79900000000001</c:v>
                </c:pt>
                <c:pt idx="441">
                  <c:v>2405.8739999999998</c:v>
                </c:pt>
                <c:pt idx="442">
                  <c:v>5205.3065000000006</c:v>
                </c:pt>
                <c:pt idx="443">
                  <c:v>1355.5619999999999</c:v>
                </c:pt>
                <c:pt idx="444">
                  <c:v>6451.8120000000008</c:v>
                </c:pt>
                <c:pt idx="445">
                  <c:v>2105.2800000000002</c:v>
                </c:pt>
                <c:pt idx="446">
                  <c:v>7219.9</c:v>
                </c:pt>
                <c:pt idx="447">
                  <c:v>2580.768</c:v>
                </c:pt>
                <c:pt idx="448">
                  <c:v>1783.92</c:v>
                </c:pt>
                <c:pt idx="449">
                  <c:v>6261.848</c:v>
                </c:pt>
                <c:pt idx="450">
                  <c:v>1588.2574999999999</c:v>
                </c:pt>
                <c:pt idx="451">
                  <c:v>1529.2860000000001</c:v>
                </c:pt>
                <c:pt idx="452">
                  <c:v>4288.24</c:v>
                </c:pt>
                <c:pt idx="453">
                  <c:v>4412.9250000000002</c:v>
                </c:pt>
                <c:pt idx="454">
                  <c:v>1481.652</c:v>
                </c:pt>
                <c:pt idx="455">
                  <c:v>475.47899999999998</c:v>
                </c:pt>
                <c:pt idx="456">
                  <c:v>1024.48</c:v>
                </c:pt>
                <c:pt idx="457">
                  <c:v>2215.2195000000002</c:v>
                </c:pt>
                <c:pt idx="458">
                  <c:v>9331.85</c:v>
                </c:pt>
                <c:pt idx="459">
                  <c:v>1801.7</c:v>
                </c:pt>
                <c:pt idx="460">
                  <c:v>5342.4000000000005</c:v>
                </c:pt>
                <c:pt idx="461">
                  <c:v>1618.434</c:v>
                </c:pt>
                <c:pt idx="462">
                  <c:v>374.33</c:v>
                </c:pt>
                <c:pt idx="463">
                  <c:v>6506.24</c:v>
                </c:pt>
                <c:pt idx="464">
                  <c:v>2579.7199999999998</c:v>
                </c:pt>
                <c:pt idx="465">
                  <c:v>4610.3999999999996</c:v>
                </c:pt>
                <c:pt idx="466">
                  <c:v>1616.6659999999999</c:v>
                </c:pt>
                <c:pt idx="467">
                  <c:v>1096.038</c:v>
                </c:pt>
                <c:pt idx="468">
                  <c:v>2434.14</c:v>
                </c:pt>
                <c:pt idx="469">
                  <c:v>6771.5999999999995</c:v>
                </c:pt>
                <c:pt idx="470">
                  <c:v>839.952</c:v>
                </c:pt>
                <c:pt idx="471">
                  <c:v>11077</c:v>
                </c:pt>
                <c:pt idx="472">
                  <c:v>949.68900000000008</c:v>
                </c:pt>
                <c:pt idx="473">
                  <c:v>1065.02</c:v>
                </c:pt>
                <c:pt idx="474">
                  <c:v>241.37100000000001</c:v>
                </c:pt>
                <c:pt idx="475">
                  <c:v>6251.7924999999996</c:v>
                </c:pt>
                <c:pt idx="476">
                  <c:v>1550.3040000000001</c:v>
                </c:pt>
                <c:pt idx="477">
                  <c:v>6545.3760000000002</c:v>
                </c:pt>
                <c:pt idx="478">
                  <c:v>4332.3609999999999</c:v>
                </c:pt>
                <c:pt idx="479">
                  <c:v>2858.5709999999999</c:v>
                </c:pt>
                <c:pt idx="480">
                  <c:v>1138.1400000000001</c:v>
                </c:pt>
                <c:pt idx="481">
                  <c:v>875.14</c:v>
                </c:pt>
                <c:pt idx="482">
                  <c:v>6977.5599999999986</c:v>
                </c:pt>
                <c:pt idx="483">
                  <c:v>3456.96</c:v>
                </c:pt>
                <c:pt idx="484">
                  <c:v>35.991</c:v>
                </c:pt>
                <c:pt idx="485">
                  <c:v>1377.09</c:v>
                </c:pt>
                <c:pt idx="486">
                  <c:v>10531</c:v>
                </c:pt>
                <c:pt idx="487">
                  <c:v>3550.701</c:v>
                </c:pt>
                <c:pt idx="488">
                  <c:v>779.875</c:v>
                </c:pt>
                <c:pt idx="489">
                  <c:v>184.41</c:v>
                </c:pt>
                <c:pt idx="490">
                  <c:v>800.44199999999989</c:v>
                </c:pt>
                <c:pt idx="491">
                  <c:v>4628.5304999999998</c:v>
                </c:pt>
                <c:pt idx="492">
                  <c:v>1409.04</c:v>
                </c:pt>
                <c:pt idx="493">
                  <c:v>3744.4724999999989</c:v>
                </c:pt>
                <c:pt idx="494">
                  <c:v>630.32599999999991</c:v>
                </c:pt>
                <c:pt idx="495">
                  <c:v>1188.432</c:v>
                </c:pt>
                <c:pt idx="496">
                  <c:v>1726.38</c:v>
                </c:pt>
                <c:pt idx="497">
                  <c:v>2243.748</c:v>
                </c:pt>
                <c:pt idx="498">
                  <c:v>464.57600000000002</c:v>
                </c:pt>
                <c:pt idx="499">
                  <c:v>517.37400000000002</c:v>
                </c:pt>
                <c:pt idx="500">
                  <c:v>5175.8625000000002</c:v>
                </c:pt>
                <c:pt idx="501">
                  <c:v>430.61</c:v>
                </c:pt>
                <c:pt idx="502">
                  <c:v>2540.25</c:v>
                </c:pt>
                <c:pt idx="503">
                  <c:v>5778.8185000000003</c:v>
                </c:pt>
                <c:pt idx="504">
                  <c:v>3981.8249999999998</c:v>
                </c:pt>
                <c:pt idx="505">
                  <c:v>2965.7339999999999</c:v>
                </c:pt>
                <c:pt idx="506">
                  <c:v>6825.1684999999998</c:v>
                </c:pt>
                <c:pt idx="507">
                  <c:v>5371.47</c:v>
                </c:pt>
                <c:pt idx="508">
                  <c:v>2079.54</c:v>
                </c:pt>
                <c:pt idx="509">
                  <c:v>8107.1280000000006</c:v>
                </c:pt>
                <c:pt idx="510">
                  <c:v>1910.85</c:v>
                </c:pt>
                <c:pt idx="511">
                  <c:v>932.12700000000007</c:v>
                </c:pt>
                <c:pt idx="512">
                  <c:v>1148.0525</c:v>
                </c:pt>
                <c:pt idx="513">
                  <c:v>816.255</c:v>
                </c:pt>
                <c:pt idx="514">
                  <c:v>6719.2739999999994</c:v>
                </c:pt>
                <c:pt idx="515">
                  <c:v>982.4</c:v>
                </c:pt>
                <c:pt idx="516">
                  <c:v>1297.32</c:v>
                </c:pt>
                <c:pt idx="517">
                  <c:v>578.55250000000001</c:v>
                </c:pt>
                <c:pt idx="518">
                  <c:v>2201.085</c:v>
                </c:pt>
                <c:pt idx="519">
                  <c:v>1657.44</c:v>
                </c:pt>
                <c:pt idx="520">
                  <c:v>705.12599999999998</c:v>
                </c:pt>
                <c:pt idx="521">
                  <c:v>5558.2979999999998</c:v>
                </c:pt>
                <c:pt idx="522">
                  <c:v>8118.7</c:v>
                </c:pt>
                <c:pt idx="523">
                  <c:v>8009.311999999999</c:v>
                </c:pt>
                <c:pt idx="524">
                  <c:v>2319.0300000000002</c:v>
                </c:pt>
                <c:pt idx="525">
                  <c:v>404.6</c:v>
                </c:pt>
                <c:pt idx="526">
                  <c:v>1836.38</c:v>
                </c:pt>
                <c:pt idx="527">
                  <c:v>639.15750000000003</c:v>
                </c:pt>
                <c:pt idx="528">
                  <c:v>5436.1184999999996</c:v>
                </c:pt>
                <c:pt idx="529">
                  <c:v>193.977</c:v>
                </c:pt>
                <c:pt idx="530">
                  <c:v>477.36</c:v>
                </c:pt>
                <c:pt idx="531">
                  <c:v>2634.32</c:v>
                </c:pt>
                <c:pt idx="532">
                  <c:v>5006.9844999999987</c:v>
                </c:pt>
                <c:pt idx="533">
                  <c:v>2261.6035000000002</c:v>
                </c:pt>
                <c:pt idx="534">
                  <c:v>750.33</c:v>
                </c:pt>
                <c:pt idx="535">
                  <c:v>6321.84</c:v>
                </c:pt>
                <c:pt idx="536">
                  <c:v>10351.799999999999</c:v>
                </c:pt>
                <c:pt idx="537">
                  <c:v>2343.7440000000001</c:v>
                </c:pt>
                <c:pt idx="538">
                  <c:v>1869.9659999999999</c:v>
                </c:pt>
                <c:pt idx="539">
                  <c:v>952.47</c:v>
                </c:pt>
                <c:pt idx="540">
                  <c:v>4990.32</c:v>
                </c:pt>
                <c:pt idx="541">
                  <c:v>1278.2639999999999</c:v>
                </c:pt>
                <c:pt idx="542">
                  <c:v>6792.94</c:v>
                </c:pt>
                <c:pt idx="543">
                  <c:v>3184.3620000000001</c:v>
                </c:pt>
                <c:pt idx="544">
                  <c:v>983.71</c:v>
                </c:pt>
                <c:pt idx="545">
                  <c:v>4661.5275000000001</c:v>
                </c:pt>
                <c:pt idx="546">
                  <c:v>6017.4900000000007</c:v>
                </c:pt>
                <c:pt idx="547">
                  <c:v>4106.34</c:v>
                </c:pt>
                <c:pt idx="548">
                  <c:v>3377.8150000000001</c:v>
                </c:pt>
                <c:pt idx="549">
                  <c:v>196.7</c:v>
                </c:pt>
                <c:pt idx="550">
                  <c:v>3490.02</c:v>
                </c:pt>
                <c:pt idx="551">
                  <c:v>548.90049999999997</c:v>
                </c:pt>
                <c:pt idx="552">
                  <c:v>4978.6650000000009</c:v>
                </c:pt>
                <c:pt idx="553">
                  <c:v>190.60400000000001</c:v>
                </c:pt>
                <c:pt idx="554">
                  <c:v>109.55</c:v>
                </c:pt>
                <c:pt idx="555">
                  <c:v>3427.65</c:v>
                </c:pt>
                <c:pt idx="556">
                  <c:v>6459.31</c:v>
                </c:pt>
                <c:pt idx="557">
                  <c:v>8480.0249999999996</c:v>
                </c:pt>
                <c:pt idx="558">
                  <c:v>1046.0864999999999</c:v>
                </c:pt>
                <c:pt idx="559">
                  <c:v>496.15</c:v>
                </c:pt>
                <c:pt idx="560">
                  <c:v>4528.62</c:v>
                </c:pt>
                <c:pt idx="561">
                  <c:v>2244.2294999999999</c:v>
                </c:pt>
                <c:pt idx="562">
                  <c:v>1807.5505000000001</c:v>
                </c:pt>
                <c:pt idx="563">
                  <c:v>4483.75</c:v>
                </c:pt>
                <c:pt idx="564">
                  <c:v>647.71199999999999</c:v>
                </c:pt>
                <c:pt idx="565">
                  <c:v>528</c:v>
                </c:pt>
                <c:pt idx="566">
                  <c:v>1535.086</c:v>
                </c:pt>
                <c:pt idx="567">
                  <c:v>309.45600000000002</c:v>
                </c:pt>
                <c:pt idx="568">
                  <c:v>168.28200000000001</c:v>
                </c:pt>
                <c:pt idx="569">
                  <c:v>1507.8305</c:v>
                </c:pt>
                <c:pt idx="570">
                  <c:v>9958.14</c:v>
                </c:pt>
                <c:pt idx="571">
                  <c:v>1951.9649999999999</c:v>
                </c:pt>
                <c:pt idx="572">
                  <c:v>1486.422</c:v>
                </c:pt>
                <c:pt idx="573">
                  <c:v>6281.84</c:v>
                </c:pt>
                <c:pt idx="574">
                  <c:v>1136.72</c:v>
                </c:pt>
                <c:pt idx="575">
                  <c:v>1268.9055000000001</c:v>
                </c:pt>
                <c:pt idx="576">
                  <c:v>180.12</c:v>
                </c:pt>
                <c:pt idx="577">
                  <c:v>375.83600000000001</c:v>
                </c:pt>
                <c:pt idx="578">
                  <c:v>419.09249999999997</c:v>
                </c:pt>
                <c:pt idx="579">
                  <c:v>3396.33</c:v>
                </c:pt>
                <c:pt idx="580">
                  <c:v>837.25850000000003</c:v>
                </c:pt>
                <c:pt idx="581">
                  <c:v>1385.28</c:v>
                </c:pt>
                <c:pt idx="582">
                  <c:v>84.5</c:v>
                </c:pt>
                <c:pt idx="583">
                  <c:v>566.32000000000005</c:v>
                </c:pt>
                <c:pt idx="584">
                  <c:v>8945.9100000000017</c:v>
                </c:pt>
                <c:pt idx="585">
                  <c:v>79.117999999999995</c:v>
                </c:pt>
                <c:pt idx="586">
                  <c:v>1984.1849999999999</c:v>
                </c:pt>
                <c:pt idx="587">
                  <c:v>2784.5</c:v>
                </c:pt>
                <c:pt idx="588">
                  <c:v>5083.1269999999986</c:v>
                </c:pt>
                <c:pt idx="589">
                  <c:v>3092.1170000000002</c:v>
                </c:pt>
                <c:pt idx="590">
                  <c:v>216.89449999999999</c:v>
                </c:pt>
                <c:pt idx="591">
                  <c:v>307.33449999999999</c:v>
                </c:pt>
                <c:pt idx="592">
                  <c:v>461.88049999999998</c:v>
                </c:pt>
                <c:pt idx="593">
                  <c:v>1520.019</c:v>
                </c:pt>
                <c:pt idx="594">
                  <c:v>812.16000000000008</c:v>
                </c:pt>
                <c:pt idx="595">
                  <c:v>832.13349999999991</c:v>
                </c:pt>
                <c:pt idx="596">
                  <c:v>3034.2</c:v>
                </c:pt>
                <c:pt idx="597">
                  <c:v>2848.1</c:v>
                </c:pt>
                <c:pt idx="598">
                  <c:v>1639.8425</c:v>
                </c:pt>
                <c:pt idx="599">
                  <c:v>564.12900000000002</c:v>
                </c:pt>
                <c:pt idx="600">
                  <c:v>11.141999999999999</c:v>
                </c:pt>
                <c:pt idx="601">
                  <c:v>3172.454999999999</c:v>
                </c:pt>
                <c:pt idx="602">
                  <c:v>376.35</c:v>
                </c:pt>
                <c:pt idx="603">
                  <c:v>367.60500000000008</c:v>
                </c:pt>
                <c:pt idx="604">
                  <c:v>2450.9699999999998</c:v>
                </c:pt>
                <c:pt idx="605">
                  <c:v>3820.92</c:v>
                </c:pt>
                <c:pt idx="606">
                  <c:v>5328.9900000000007</c:v>
                </c:pt>
                <c:pt idx="607">
                  <c:v>355.6825</c:v>
                </c:pt>
                <c:pt idx="608">
                  <c:v>3029.4</c:v>
                </c:pt>
                <c:pt idx="609">
                  <c:v>8229.76</c:v>
                </c:pt>
                <c:pt idx="610">
                  <c:v>534.96</c:v>
                </c:pt>
                <c:pt idx="611">
                  <c:v>2780</c:v>
                </c:pt>
                <c:pt idx="612">
                  <c:v>4198.8239999999996</c:v>
                </c:pt>
                <c:pt idx="613">
                  <c:v>1088.9280000000001</c:v>
                </c:pt>
                <c:pt idx="614">
                  <c:v>6936.0069999999996</c:v>
                </c:pt>
                <c:pt idx="615">
                  <c:v>1798.05</c:v>
                </c:pt>
                <c:pt idx="616">
                  <c:v>1472.37</c:v>
                </c:pt>
                <c:pt idx="617">
                  <c:v>6081.8519999999999</c:v>
                </c:pt>
                <c:pt idx="618">
                  <c:v>7250.3239999999996</c:v>
                </c:pt>
                <c:pt idx="619">
                  <c:v>1467.44</c:v>
                </c:pt>
                <c:pt idx="620">
                  <c:v>1887.4079999999999</c:v>
                </c:pt>
                <c:pt idx="621">
                  <c:v>1528.2149999999999</c:v>
                </c:pt>
                <c:pt idx="622">
                  <c:v>1153.6199999999999</c:v>
                </c:pt>
                <c:pt idx="623">
                  <c:v>3106.9845</c:v>
                </c:pt>
                <c:pt idx="624">
                  <c:v>5444.4539999999997</c:v>
                </c:pt>
                <c:pt idx="625">
                  <c:v>2073.924</c:v>
                </c:pt>
                <c:pt idx="626">
                  <c:v>10084.4</c:v>
                </c:pt>
                <c:pt idx="627">
                  <c:v>1220.058</c:v>
                </c:pt>
                <c:pt idx="628">
                  <c:v>731.24099999999999</c:v>
                </c:pt>
                <c:pt idx="629">
                  <c:v>1117.44</c:v>
                </c:pt>
                <c:pt idx="630">
                  <c:v>4730.7259999999997</c:v>
                </c:pt>
                <c:pt idx="631">
                  <c:v>212.364</c:v>
                </c:pt>
                <c:pt idx="632">
                  <c:v>3024.5039999999999</c:v>
                </c:pt>
                <c:pt idx="633">
                  <c:v>1091.8800000000001</c:v>
                </c:pt>
                <c:pt idx="634">
                  <c:v>1419.8130000000001</c:v>
                </c:pt>
                <c:pt idx="635">
                  <c:v>7200.9000000000005</c:v>
                </c:pt>
                <c:pt idx="636">
                  <c:v>124.3265</c:v>
                </c:pt>
                <c:pt idx="637">
                  <c:v>1244.298</c:v>
                </c:pt>
                <c:pt idx="638">
                  <c:v>5249.5559999999996</c:v>
                </c:pt>
                <c:pt idx="639">
                  <c:v>688.36999999999989</c:v>
                </c:pt>
                <c:pt idx="640">
                  <c:v>1592.78</c:v>
                </c:pt>
                <c:pt idx="641">
                  <c:v>179.2</c:v>
                </c:pt>
                <c:pt idx="642">
                  <c:v>999.39599999999996</c:v>
                </c:pt>
                <c:pt idx="643">
                  <c:v>3770.37</c:v>
                </c:pt>
                <c:pt idx="644">
                  <c:v>3637.08</c:v>
                </c:pt>
                <c:pt idx="645">
                  <c:v>1889.55</c:v>
                </c:pt>
                <c:pt idx="646">
                  <c:v>2042.136</c:v>
                </c:pt>
                <c:pt idx="647">
                  <c:v>115.66800000000001</c:v>
                </c:pt>
                <c:pt idx="648">
                  <c:v>3850.578</c:v>
                </c:pt>
                <c:pt idx="649">
                  <c:v>7103.0399999999991</c:v>
                </c:pt>
                <c:pt idx="650">
                  <c:v>619.97950000000003</c:v>
                </c:pt>
                <c:pt idx="651">
                  <c:v>4480.6499999999996</c:v>
                </c:pt>
                <c:pt idx="652">
                  <c:v>667.71749999999997</c:v>
                </c:pt>
                <c:pt idx="653">
                  <c:v>562.62599999999998</c:v>
                </c:pt>
                <c:pt idx="654">
                  <c:v>3747.483999999999</c:v>
                </c:pt>
                <c:pt idx="655">
                  <c:v>1749.48</c:v>
                </c:pt>
                <c:pt idx="656">
                  <c:v>103.13</c:v>
                </c:pt>
                <c:pt idx="657">
                  <c:v>514.80499999999995</c:v>
                </c:pt>
                <c:pt idx="658">
                  <c:v>3000.5909999999999</c:v>
                </c:pt>
                <c:pt idx="659">
                  <c:v>645.91450000000009</c:v>
                </c:pt>
                <c:pt idx="660">
                  <c:v>2557.08</c:v>
                </c:pt>
                <c:pt idx="661">
                  <c:v>1186.4159999999999</c:v>
                </c:pt>
                <c:pt idx="662">
                  <c:v>4838.4639999999999</c:v>
                </c:pt>
                <c:pt idx="663">
                  <c:v>3415.6484999999998</c:v>
                </c:pt>
                <c:pt idx="664">
                  <c:v>3727.0079999999998</c:v>
                </c:pt>
                <c:pt idx="665">
                  <c:v>2331.4140000000002</c:v>
                </c:pt>
                <c:pt idx="666">
                  <c:v>5265.24</c:v>
                </c:pt>
                <c:pt idx="667">
                  <c:v>4817.34</c:v>
                </c:pt>
                <c:pt idx="668">
                  <c:v>660.85799999999995</c:v>
                </c:pt>
                <c:pt idx="669">
                  <c:v>5239.82</c:v>
                </c:pt>
                <c:pt idx="670">
                  <c:v>3071.16</c:v>
                </c:pt>
                <c:pt idx="671">
                  <c:v>324.02850000000001</c:v>
                </c:pt>
                <c:pt idx="672">
                  <c:v>162.47749999999999</c:v>
                </c:pt>
                <c:pt idx="673">
                  <c:v>1581.02</c:v>
                </c:pt>
                <c:pt idx="674">
                  <c:v>4164.9519999999993</c:v>
                </c:pt>
                <c:pt idx="675">
                  <c:v>8298.6299999999992</c:v>
                </c:pt>
                <c:pt idx="676">
                  <c:v>7084.701</c:v>
                </c:pt>
                <c:pt idx="677">
                  <c:v>385.47199999999998</c:v>
                </c:pt>
                <c:pt idx="678">
                  <c:v>1203.107</c:v>
                </c:pt>
                <c:pt idx="679">
                  <c:v>881.44999999999993</c:v>
                </c:pt>
                <c:pt idx="680">
                  <c:v>1396.614</c:v>
                </c:pt>
                <c:pt idx="681">
                  <c:v>2076.9155000000001</c:v>
                </c:pt>
                <c:pt idx="682">
                  <c:v>1638.72</c:v>
                </c:pt>
                <c:pt idx="683">
                  <c:v>1610.91</c:v>
                </c:pt>
                <c:pt idx="684">
                  <c:v>7465.6350000000002</c:v>
                </c:pt>
                <c:pt idx="685">
                  <c:v>5126.76</c:v>
                </c:pt>
                <c:pt idx="686">
                  <c:v>8015.2109999999993</c:v>
                </c:pt>
                <c:pt idx="687">
                  <c:v>626.75099999999998</c:v>
                </c:pt>
                <c:pt idx="688">
                  <c:v>2743.596</c:v>
                </c:pt>
                <c:pt idx="689">
                  <c:v>336.89749999999998</c:v>
                </c:pt>
                <c:pt idx="690">
                  <c:v>1659.7439999999999</c:v>
                </c:pt>
                <c:pt idx="691">
                  <c:v>1347.03</c:v>
                </c:pt>
                <c:pt idx="692">
                  <c:v>506.41</c:v>
                </c:pt>
                <c:pt idx="693">
                  <c:v>1764.09</c:v>
                </c:pt>
                <c:pt idx="694">
                  <c:v>4361.01</c:v>
                </c:pt>
                <c:pt idx="695">
                  <c:v>4230.9960000000001</c:v>
                </c:pt>
                <c:pt idx="696">
                  <c:v>2500.5329999999999</c:v>
                </c:pt>
                <c:pt idx="697">
                  <c:v>2463.8850000000002</c:v>
                </c:pt>
                <c:pt idx="698">
                  <c:v>4186.5599999999986</c:v>
                </c:pt>
                <c:pt idx="699">
                  <c:v>7290.45</c:v>
                </c:pt>
                <c:pt idx="700">
                  <c:v>1893.171</c:v>
                </c:pt>
                <c:pt idx="701">
                  <c:v>1772.6579999999999</c:v>
                </c:pt>
                <c:pt idx="702">
                  <c:v>5716.75</c:v>
                </c:pt>
                <c:pt idx="703">
                  <c:v>2269.4265</c:v>
                </c:pt>
                <c:pt idx="704">
                  <c:v>3135.0239999999999</c:v>
                </c:pt>
                <c:pt idx="705">
                  <c:v>532.20000000000005</c:v>
                </c:pt>
                <c:pt idx="706">
                  <c:v>479.38</c:v>
                </c:pt>
                <c:pt idx="707">
                  <c:v>286.488</c:v>
                </c:pt>
                <c:pt idx="708">
                  <c:v>3536.28</c:v>
                </c:pt>
                <c:pt idx="709">
                  <c:v>3164.58</c:v>
                </c:pt>
                <c:pt idx="710">
                  <c:v>6513.5839999999998</c:v>
                </c:pt>
                <c:pt idx="711">
                  <c:v>6765.1399999999994</c:v>
                </c:pt>
                <c:pt idx="712">
                  <c:v>3884.2109999999998</c:v>
                </c:pt>
                <c:pt idx="713">
                  <c:v>190.02600000000001</c:v>
                </c:pt>
                <c:pt idx="714">
                  <c:v>529.68600000000004</c:v>
                </c:pt>
                <c:pt idx="715">
                  <c:v>271.56650000000002</c:v>
                </c:pt>
                <c:pt idx="716">
                  <c:v>3244.6680000000001</c:v>
                </c:pt>
                <c:pt idx="717">
                  <c:v>261.79199999999997</c:v>
                </c:pt>
                <c:pt idx="718">
                  <c:v>1749.4</c:v>
                </c:pt>
                <c:pt idx="719">
                  <c:v>7123.6800000000012</c:v>
                </c:pt>
                <c:pt idx="720">
                  <c:v>4511.9870000000001</c:v>
                </c:pt>
                <c:pt idx="721">
                  <c:v>6158.5920000000006</c:v>
                </c:pt>
                <c:pt idx="722">
                  <c:v>3803.3550000000009</c:v>
                </c:pt>
                <c:pt idx="723">
                  <c:v>2775</c:v>
                </c:pt>
                <c:pt idx="724">
                  <c:v>6512.0219999999999</c:v>
                </c:pt>
                <c:pt idx="725">
                  <c:v>1512.558</c:v>
                </c:pt>
                <c:pt idx="726">
                  <c:v>3928.7534999999989</c:v>
                </c:pt>
                <c:pt idx="727">
                  <c:v>155.61000000000001</c:v>
                </c:pt>
                <c:pt idx="728">
                  <c:v>3746.7809999999999</c:v>
                </c:pt>
                <c:pt idx="729">
                  <c:v>382.09500000000003</c:v>
                </c:pt>
                <c:pt idx="730">
                  <c:v>2029.2929999999999</c:v>
                </c:pt>
                <c:pt idx="731">
                  <c:v>417.52800000000002</c:v>
                </c:pt>
                <c:pt idx="732">
                  <c:v>3086.392499999999</c:v>
                </c:pt>
                <c:pt idx="733">
                  <c:v>91.238</c:v>
                </c:pt>
                <c:pt idx="734">
                  <c:v>480.85199999999998</c:v>
                </c:pt>
                <c:pt idx="735">
                  <c:v>250.2825</c:v>
                </c:pt>
                <c:pt idx="736">
                  <c:v>705.09</c:v>
                </c:pt>
                <c:pt idx="737">
                  <c:v>1449.0360000000001</c:v>
                </c:pt>
                <c:pt idx="738">
                  <c:v>2010.3140000000001</c:v>
                </c:pt>
                <c:pt idx="739">
                  <c:v>203.90799999999999</c:v>
                </c:pt>
                <c:pt idx="740">
                  <c:v>475.91199999999998</c:v>
                </c:pt>
                <c:pt idx="741">
                  <c:v>8878.9470000000001</c:v>
                </c:pt>
                <c:pt idx="742">
                  <c:v>166.7535</c:v>
                </c:pt>
                <c:pt idx="743">
                  <c:v>7712.4240000000009</c:v>
                </c:pt>
                <c:pt idx="744">
                  <c:v>7133.71</c:v>
                </c:pt>
                <c:pt idx="745">
                  <c:v>507.98399999999998</c:v>
                </c:pt>
                <c:pt idx="746">
                  <c:v>596.12</c:v>
                </c:pt>
                <c:pt idx="747">
                  <c:v>1642.1795</c:v>
                </c:pt>
                <c:pt idx="748">
                  <c:v>6001.1280000000006</c:v>
                </c:pt>
                <c:pt idx="749">
                  <c:v>4482.1759999999986</c:v>
                </c:pt>
                <c:pt idx="750">
                  <c:v>9625.8845000000001</c:v>
                </c:pt>
                <c:pt idx="751">
                  <c:v>1094.4000000000001</c:v>
                </c:pt>
                <c:pt idx="752">
                  <c:v>3809.0250000000001</c:v>
                </c:pt>
                <c:pt idx="753">
                  <c:v>2484.8389999999999</c:v>
                </c:pt>
                <c:pt idx="754">
                  <c:v>2116.1770000000001</c:v>
                </c:pt>
                <c:pt idx="755">
                  <c:v>2811.348</c:v>
                </c:pt>
                <c:pt idx="756">
                  <c:v>3153.415</c:v>
                </c:pt>
                <c:pt idx="757">
                  <c:v>987.69600000000003</c:v>
                </c:pt>
                <c:pt idx="758">
                  <c:v>2748.24</c:v>
                </c:pt>
                <c:pt idx="759">
                  <c:v>5467.3190000000004</c:v>
                </c:pt>
                <c:pt idx="760">
                  <c:v>296.62200000000001</c:v>
                </c:pt>
                <c:pt idx="761">
                  <c:v>3026.8</c:v>
                </c:pt>
                <c:pt idx="762">
                  <c:v>1347.9455</c:v>
                </c:pt>
                <c:pt idx="763">
                  <c:v>1712.0785000000001</c:v>
                </c:pt>
                <c:pt idx="764">
                  <c:v>2904.5774999999999</c:v>
                </c:pt>
                <c:pt idx="765">
                  <c:v>7369.2640000000001</c:v>
                </c:pt>
                <c:pt idx="766">
                  <c:v>332.31</c:v>
                </c:pt>
                <c:pt idx="767">
                  <c:v>79.647999999999996</c:v>
                </c:pt>
                <c:pt idx="768">
                  <c:v>2262.1590000000001</c:v>
                </c:pt>
                <c:pt idx="769">
                  <c:v>3414.0149999999999</c:v>
                </c:pt>
                <c:pt idx="770">
                  <c:v>4912</c:v>
                </c:pt>
                <c:pt idx="771">
                  <c:v>268.54050000000001</c:v>
                </c:pt>
                <c:pt idx="772">
                  <c:v>2984.85</c:v>
                </c:pt>
                <c:pt idx="773">
                  <c:v>6088.2269999999999</c:v>
                </c:pt>
                <c:pt idx="774">
                  <c:v>1126.6559999999999</c:v>
                </c:pt>
                <c:pt idx="775">
                  <c:v>2154.7399999999998</c:v>
                </c:pt>
                <c:pt idx="776">
                  <c:v>4723.6279999999997</c:v>
                </c:pt>
                <c:pt idx="777">
                  <c:v>1692.27</c:v>
                </c:pt>
                <c:pt idx="778">
                  <c:v>3441.5565000000001</c:v>
                </c:pt>
                <c:pt idx="779">
                  <c:v>4056.389999999999</c:v>
                </c:pt>
                <c:pt idx="780">
                  <c:v>744.048</c:v>
                </c:pt>
                <c:pt idx="781">
                  <c:v>9124.07</c:v>
                </c:pt>
                <c:pt idx="782">
                  <c:v>980.49499999999989</c:v>
                </c:pt>
                <c:pt idx="783">
                  <c:v>873.22199999999987</c:v>
                </c:pt>
                <c:pt idx="784">
                  <c:v>247.04</c:v>
                </c:pt>
                <c:pt idx="785">
                  <c:v>1487.6189999999999</c:v>
                </c:pt>
                <c:pt idx="786">
                  <c:v>3772.2489999999989</c:v>
                </c:pt>
                <c:pt idx="787">
                  <c:v>4312.5344999999998</c:v>
                </c:pt>
                <c:pt idx="788">
                  <c:v>543.82999999999993</c:v>
                </c:pt>
                <c:pt idx="789">
                  <c:v>6248.6</c:v>
                </c:pt>
                <c:pt idx="790">
                  <c:v>254.505</c:v>
                </c:pt>
                <c:pt idx="791">
                  <c:v>4309.3044999999993</c:v>
                </c:pt>
                <c:pt idx="792">
                  <c:v>4714.09</c:v>
                </c:pt>
                <c:pt idx="793">
                  <c:v>1504.61</c:v>
                </c:pt>
                <c:pt idx="794">
                  <c:v>305.31599999999997</c:v>
                </c:pt>
                <c:pt idx="795">
                  <c:v>571.38700000000006</c:v>
                </c:pt>
                <c:pt idx="796">
                  <c:v>713.01600000000008</c:v>
                </c:pt>
                <c:pt idx="797">
                  <c:v>584.63</c:v>
                </c:pt>
                <c:pt idx="798">
                  <c:v>1073.924</c:v>
                </c:pt>
                <c:pt idx="799">
                  <c:v>723.10199999999998</c:v>
                </c:pt>
                <c:pt idx="800">
                  <c:v>3420.7125000000001</c:v>
                </c:pt>
                <c:pt idx="801">
                  <c:v>101.601</c:v>
                </c:pt>
                <c:pt idx="802">
                  <c:v>4599.2700000000004</c:v>
                </c:pt>
                <c:pt idx="803">
                  <c:v>712.81</c:v>
                </c:pt>
                <c:pt idx="804">
                  <c:v>1100.7</c:v>
                </c:pt>
                <c:pt idx="805">
                  <c:v>1473.798</c:v>
                </c:pt>
                <c:pt idx="806">
                  <c:v>4511.3999999999996</c:v>
                </c:pt>
                <c:pt idx="807">
                  <c:v>8145.28</c:v>
                </c:pt>
                <c:pt idx="808">
                  <c:v>2214.3739999999998</c:v>
                </c:pt>
                <c:pt idx="809">
                  <c:v>1037.1600000000001</c:v>
                </c:pt>
                <c:pt idx="810">
                  <c:v>7124.670000000001</c:v>
                </c:pt>
                <c:pt idx="811">
                  <c:v>1336.94</c:v>
                </c:pt>
                <c:pt idx="812">
                  <c:v>1297.2149999999999</c:v>
                </c:pt>
                <c:pt idx="813">
                  <c:v>2336.2779999999998</c:v>
                </c:pt>
                <c:pt idx="814">
                  <c:v>1248.2145</c:v>
                </c:pt>
                <c:pt idx="815">
                  <c:v>4198.2179999999998</c:v>
                </c:pt>
                <c:pt idx="816">
                  <c:v>163.29</c:v>
                </c:pt>
                <c:pt idx="817">
                  <c:v>2557.9699999999998</c:v>
                </c:pt>
                <c:pt idx="818">
                  <c:v>2533.9050000000002</c:v>
                </c:pt>
                <c:pt idx="819">
                  <c:v>1828.386</c:v>
                </c:pt>
                <c:pt idx="820">
                  <c:v>3581.1</c:v>
                </c:pt>
                <c:pt idx="821">
                  <c:v>5395.8850000000002</c:v>
                </c:pt>
                <c:pt idx="822">
                  <c:v>450.9</c:v>
                </c:pt>
                <c:pt idx="823">
                  <c:v>8955.1749999999993</c:v>
                </c:pt>
                <c:pt idx="824">
                  <c:v>1642.34</c:v>
                </c:pt>
                <c:pt idx="825">
                  <c:v>581.93999999999994</c:v>
                </c:pt>
                <c:pt idx="826">
                  <c:v>7350.34</c:v>
                </c:pt>
                <c:pt idx="827">
                  <c:v>975.96</c:v>
                </c:pt>
                <c:pt idx="828">
                  <c:v>2340.2624999999998</c:v>
                </c:pt>
                <c:pt idx="829">
                  <c:v>1800.8579999999999</c:v>
                </c:pt>
                <c:pt idx="830">
                  <c:v>479.17999999999989</c:v>
                </c:pt>
                <c:pt idx="831">
                  <c:v>874.08</c:v>
                </c:pt>
                <c:pt idx="832">
                  <c:v>1907.655</c:v>
                </c:pt>
                <c:pt idx="833">
                  <c:v>4199.16</c:v>
                </c:pt>
                <c:pt idx="834">
                  <c:v>1524.424</c:v>
                </c:pt>
                <c:pt idx="835">
                  <c:v>1867.8330000000001</c:v>
                </c:pt>
                <c:pt idx="836">
                  <c:v>3285.251999999999</c:v>
                </c:pt>
                <c:pt idx="837">
                  <c:v>849.9319999999999</c:v>
                </c:pt>
                <c:pt idx="838">
                  <c:v>2312.2890000000002</c:v>
                </c:pt>
                <c:pt idx="839">
                  <c:v>346.45</c:v>
                </c:pt>
                <c:pt idx="840">
                  <c:v>4603.6500000000005</c:v>
                </c:pt>
                <c:pt idx="841">
                  <c:v>1327.02</c:v>
                </c:pt>
                <c:pt idx="842">
                  <c:v>432.81</c:v>
                </c:pt>
                <c:pt idx="843">
                  <c:v>554.07799999999997</c:v>
                </c:pt>
                <c:pt idx="844">
                  <c:v>2139.6280000000002</c:v>
                </c:pt>
                <c:pt idx="845">
                  <c:v>2832.6675</c:v>
                </c:pt>
                <c:pt idx="846">
                  <c:v>2592.873</c:v>
                </c:pt>
                <c:pt idx="847">
                  <c:v>3369.672</c:v>
                </c:pt>
                <c:pt idx="848">
                  <c:v>7578.3874999999998</c:v>
                </c:pt>
                <c:pt idx="849">
                  <c:v>7523.9279999999999</c:v>
                </c:pt>
                <c:pt idx="850">
                  <c:v>8398.1234999999997</c:v>
                </c:pt>
                <c:pt idx="851">
                  <c:v>6186.24</c:v>
                </c:pt>
                <c:pt idx="852">
                  <c:v>6284.3829999999989</c:v>
                </c:pt>
                <c:pt idx="853">
                  <c:v>2565.36</c:v>
                </c:pt>
                <c:pt idx="854">
                  <c:v>29.849</c:v>
                </c:pt>
                <c:pt idx="855">
                  <c:v>8269.5905000000002</c:v>
                </c:pt>
                <c:pt idx="856">
                  <c:v>5404.3200000000006</c:v>
                </c:pt>
                <c:pt idx="857">
                  <c:v>695.15549999999996</c:v>
                </c:pt>
                <c:pt idx="858">
                  <c:v>5032.4445000000014</c:v>
                </c:pt>
                <c:pt idx="859">
                  <c:v>2621.0880000000002</c:v>
                </c:pt>
                <c:pt idx="860">
                  <c:v>2817.3164999999999</c:v>
                </c:pt>
                <c:pt idx="861">
                  <c:v>1838.05</c:v>
                </c:pt>
                <c:pt idx="862">
                  <c:v>9294.3249999999989</c:v>
                </c:pt>
                <c:pt idx="863">
                  <c:v>585.09749999999985</c:v>
                </c:pt>
                <c:pt idx="864">
                  <c:v>1174.8900000000001</c:v>
                </c:pt>
                <c:pt idx="865">
                  <c:v>909.22499999999991</c:v>
                </c:pt>
                <c:pt idx="866">
                  <c:v>2314.6860000000001</c:v>
                </c:pt>
                <c:pt idx="867">
                  <c:v>10216.299999999999</c:v>
                </c:pt>
                <c:pt idx="868">
                  <c:v>154.66</c:v>
                </c:pt>
                <c:pt idx="869">
                  <c:v>393.4</c:v>
                </c:pt>
                <c:pt idx="870">
                  <c:v>3990.06</c:v>
                </c:pt>
                <c:pt idx="871">
                  <c:v>1855.992</c:v>
                </c:pt>
                <c:pt idx="872">
                  <c:v>81.778500000000008</c:v>
                </c:pt>
                <c:pt idx="873">
                  <c:v>509.10750000000002</c:v>
                </c:pt>
                <c:pt idx="874">
                  <c:v>2227.8584999999998</c:v>
                </c:pt>
                <c:pt idx="875">
                  <c:v>203.74</c:v>
                </c:pt>
                <c:pt idx="876">
                  <c:v>4241.6074999999992</c:v>
                </c:pt>
                <c:pt idx="877">
                  <c:v>2161.65</c:v>
                </c:pt>
                <c:pt idx="878">
                  <c:v>6176.3040000000001</c:v>
                </c:pt>
                <c:pt idx="879">
                  <c:v>4366.7820000000002</c:v>
                </c:pt>
                <c:pt idx="880">
                  <c:v>2749.53</c:v>
                </c:pt>
                <c:pt idx="881">
                  <c:v>1076.616</c:v>
                </c:pt>
                <c:pt idx="882">
                  <c:v>4938.66</c:v>
                </c:pt>
                <c:pt idx="883">
                  <c:v>177.57</c:v>
                </c:pt>
                <c:pt idx="884">
                  <c:v>4424.34</c:v>
                </c:pt>
                <c:pt idx="885">
                  <c:v>1061.3969999999999</c:v>
                </c:pt>
                <c:pt idx="886">
                  <c:v>5530.14</c:v>
                </c:pt>
                <c:pt idx="887">
                  <c:v>2440.0529999999999</c:v>
                </c:pt>
                <c:pt idx="888">
                  <c:v>152.75</c:v>
                </c:pt>
                <c:pt idx="889">
                  <c:v>521.85599999999999</c:v>
                </c:pt>
                <c:pt idx="890">
                  <c:v>698.72400000000005</c:v>
                </c:pt>
                <c:pt idx="891">
                  <c:v>454.005</c:v>
                </c:pt>
                <c:pt idx="892">
                  <c:v>1092.1320000000001</c:v>
                </c:pt>
                <c:pt idx="893">
                  <c:v>7804.2240000000011</c:v>
                </c:pt>
                <c:pt idx="894">
                  <c:v>290.99</c:v>
                </c:pt>
                <c:pt idx="895">
                  <c:v>2961.2640000000001</c:v>
                </c:pt>
                <c:pt idx="896">
                  <c:v>287.55</c:v>
                </c:pt>
                <c:pt idx="897">
                  <c:v>3960.09</c:v>
                </c:pt>
                <c:pt idx="898">
                  <c:v>3314.1959999999999</c:v>
                </c:pt>
                <c:pt idx="899">
                  <c:v>4138.3950000000004</c:v>
                </c:pt>
                <c:pt idx="900">
                  <c:v>4113.2245000000003</c:v>
                </c:pt>
                <c:pt idx="901">
                  <c:v>1073.7280000000001</c:v>
                </c:pt>
                <c:pt idx="902">
                  <c:v>2515.422</c:v>
                </c:pt>
                <c:pt idx="903">
                  <c:v>5832.2969999999996</c:v>
                </c:pt>
                <c:pt idx="904">
                  <c:v>6166.45</c:v>
                </c:pt>
                <c:pt idx="905">
                  <c:v>4335.4080000000004</c:v>
                </c:pt>
                <c:pt idx="906">
                  <c:v>3708.639999999999</c:v>
                </c:pt>
                <c:pt idx="907">
                  <c:v>270.60000000000002</c:v>
                </c:pt>
                <c:pt idx="908">
                  <c:v>5449.84</c:v>
                </c:pt>
                <c:pt idx="909">
                  <c:v>2819.4839999999999</c:v>
                </c:pt>
                <c:pt idx="910">
                  <c:v>1358.5039999999999</c:v>
                </c:pt>
                <c:pt idx="911">
                  <c:v>448.37099999999998</c:v>
                </c:pt>
                <c:pt idx="912">
                  <c:v>6088.4459999999999</c:v>
                </c:pt>
                <c:pt idx="913">
                  <c:v>2346.48</c:v>
                </c:pt>
                <c:pt idx="914">
                  <c:v>6473.9739999999993</c:v>
                </c:pt>
                <c:pt idx="915">
                  <c:v>5018.6220000000003</c:v>
                </c:pt>
                <c:pt idx="916">
                  <c:v>2947.01</c:v>
                </c:pt>
                <c:pt idx="917">
                  <c:v>4212.7560000000003</c:v>
                </c:pt>
                <c:pt idx="918">
                  <c:v>3511.105</c:v>
                </c:pt>
                <c:pt idx="919">
                  <c:v>5125.2000000000007</c:v>
                </c:pt>
                <c:pt idx="920">
                  <c:v>1982.97</c:v>
                </c:pt>
                <c:pt idx="921">
                  <c:v>257.72000000000003</c:v>
                </c:pt>
                <c:pt idx="922">
                  <c:v>2073.7199999999998</c:v>
                </c:pt>
                <c:pt idx="923">
                  <c:v>3270.299</c:v>
                </c:pt>
                <c:pt idx="924">
                  <c:v>561.93449999999996</c:v>
                </c:pt>
                <c:pt idx="925">
                  <c:v>467.17200000000003</c:v>
                </c:pt>
                <c:pt idx="926">
                  <c:v>179.34</c:v>
                </c:pt>
                <c:pt idx="927">
                  <c:v>2285.9279999999999</c:v>
                </c:pt>
                <c:pt idx="928">
                  <c:v>864.12950000000001</c:v>
                </c:pt>
                <c:pt idx="929">
                  <c:v>2761.4789999999998</c:v>
                </c:pt>
                <c:pt idx="930">
                  <c:v>1523.403</c:v>
                </c:pt>
                <c:pt idx="931">
                  <c:v>1189.932</c:v>
                </c:pt>
                <c:pt idx="932">
                  <c:v>4042.7819999999988</c:v>
                </c:pt>
                <c:pt idx="933">
                  <c:v>10028.978999999999</c:v>
                </c:pt>
                <c:pt idx="934">
                  <c:v>5901.3374999999996</c:v>
                </c:pt>
                <c:pt idx="935">
                  <c:v>167.36150000000001</c:v>
                </c:pt>
                <c:pt idx="936">
                  <c:v>64.116</c:v>
                </c:pt>
                <c:pt idx="937">
                  <c:v>374.58</c:v>
                </c:pt>
                <c:pt idx="938">
                  <c:v>3590.3069999999998</c:v>
                </c:pt>
                <c:pt idx="939">
                  <c:v>161.785</c:v>
                </c:pt>
                <c:pt idx="940">
                  <c:v>7689.7800000000007</c:v>
                </c:pt>
                <c:pt idx="941">
                  <c:v>242.244</c:v>
                </c:pt>
                <c:pt idx="942">
                  <c:v>6537.1859999999997</c:v>
                </c:pt>
                <c:pt idx="943">
                  <c:v>389.94</c:v>
                </c:pt>
                <c:pt idx="944">
                  <c:v>1959.7739999999999</c:v>
                </c:pt>
                <c:pt idx="945">
                  <c:v>8654.4619999999995</c:v>
                </c:pt>
                <c:pt idx="946">
                  <c:v>2828.6819999999998</c:v>
                </c:pt>
                <c:pt idx="947">
                  <c:v>964.2</c:v>
                </c:pt>
                <c:pt idx="948">
                  <c:v>6188.5620000000008</c:v>
                </c:pt>
                <c:pt idx="949">
                  <c:v>1767.74</c:v>
                </c:pt>
                <c:pt idx="950">
                  <c:v>5062.8599999999997</c:v>
                </c:pt>
                <c:pt idx="951">
                  <c:v>3056.88</c:v>
                </c:pt>
                <c:pt idx="952">
                  <c:v>1410.27</c:v>
                </c:pt>
                <c:pt idx="953">
                  <c:v>2808</c:v>
                </c:pt>
                <c:pt idx="954">
                  <c:v>2036.5830000000001</c:v>
                </c:pt>
                <c:pt idx="955">
                  <c:v>1388.152</c:v>
                </c:pt>
                <c:pt idx="956">
                  <c:v>46.631</c:v>
                </c:pt>
                <c:pt idx="957">
                  <c:v>3185.0279999999998</c:v>
                </c:pt>
                <c:pt idx="958">
                  <c:v>838.43999999999994</c:v>
                </c:pt>
                <c:pt idx="959">
                  <c:v>1170.8399999999999</c:v>
                </c:pt>
                <c:pt idx="960">
                  <c:v>1932.645</c:v>
                </c:pt>
                <c:pt idx="961">
                  <c:v>3017.7359999999999</c:v>
                </c:pt>
                <c:pt idx="962">
                  <c:v>1403.52</c:v>
                </c:pt>
                <c:pt idx="963">
                  <c:v>3204.828</c:v>
                </c:pt>
                <c:pt idx="964">
                  <c:v>1624.8705</c:v>
                </c:pt>
                <c:pt idx="965">
                  <c:v>5404</c:v>
                </c:pt>
                <c:pt idx="966">
                  <c:v>6508.08</c:v>
                </c:pt>
                <c:pt idx="967">
                  <c:v>4271.9489999999996</c:v>
                </c:pt>
                <c:pt idx="968">
                  <c:v>1513.8</c:v>
                </c:pt>
                <c:pt idx="969">
                  <c:v>6553.48</c:v>
                </c:pt>
                <c:pt idx="970">
                  <c:v>3222.1979999999999</c:v>
                </c:pt>
                <c:pt idx="971">
                  <c:v>896.07</c:v>
                </c:pt>
                <c:pt idx="972">
                  <c:v>1074.5360000000001</c:v>
                </c:pt>
                <c:pt idx="973">
                  <c:v>965.12399999999991</c:v>
                </c:pt>
                <c:pt idx="974">
                  <c:v>7769.1360000000004</c:v>
                </c:pt>
                <c:pt idx="975">
                  <c:v>1451.7360000000001</c:v>
                </c:pt>
                <c:pt idx="976">
                  <c:v>2818.5</c:v>
                </c:pt>
                <c:pt idx="977">
                  <c:v>5110.4295000000002</c:v>
                </c:pt>
                <c:pt idx="978">
                  <c:v>3119.7240000000002</c:v>
                </c:pt>
                <c:pt idx="979">
                  <c:v>2191.2064999999998</c:v>
                </c:pt>
                <c:pt idx="980">
                  <c:v>10745.6</c:v>
                </c:pt>
                <c:pt idx="981">
                  <c:v>309.27</c:v>
                </c:pt>
                <c:pt idx="982">
                  <c:v>878.04</c:v>
                </c:pt>
                <c:pt idx="983">
                  <c:v>2879.375</c:v>
                </c:pt>
                <c:pt idx="984">
                  <c:v>478.08</c:v>
                </c:pt>
                <c:pt idx="985">
                  <c:v>4566.7439999999997</c:v>
                </c:pt>
                <c:pt idx="986">
                  <c:v>3306.78</c:v>
                </c:pt>
                <c:pt idx="987">
                  <c:v>73.853999999999999</c:v>
                </c:pt>
                <c:pt idx="988">
                  <c:v>2965.837</c:v>
                </c:pt>
                <c:pt idx="989">
                  <c:v>456.13799999999998</c:v>
                </c:pt>
                <c:pt idx="990">
                  <c:v>2074.6080000000002</c:v>
                </c:pt>
                <c:pt idx="991">
                  <c:v>1880.1914999999999</c:v>
                </c:pt>
                <c:pt idx="992">
                  <c:v>5795.9550000000008</c:v>
                </c:pt>
                <c:pt idx="993">
                  <c:v>1346.31</c:v>
                </c:pt>
                <c:pt idx="994">
                  <c:v>1659.87</c:v>
                </c:pt>
                <c:pt idx="995">
                  <c:v>9505.6</c:v>
                </c:pt>
                <c:pt idx="996">
                  <c:v>8243.3970000000008</c:v>
                </c:pt>
                <c:pt idx="997">
                  <c:v>1433.55</c:v>
                </c:pt>
                <c:pt idx="998">
                  <c:v>889.59600000000012</c:v>
                </c:pt>
                <c:pt idx="999">
                  <c:v>1607.6849999999999</c:v>
                </c:pt>
                <c:pt idx="1000">
                  <c:v>364.68</c:v>
                </c:pt>
                <c:pt idx="1001">
                  <c:v>5591.28</c:v>
                </c:pt>
                <c:pt idx="1002">
                  <c:v>1915.56</c:v>
                </c:pt>
                <c:pt idx="1003">
                  <c:v>477.10500000000002</c:v>
                </c:pt>
                <c:pt idx="1004">
                  <c:v>1060.6469999999999</c:v>
                </c:pt>
                <c:pt idx="1005">
                  <c:v>9398.11</c:v>
                </c:pt>
                <c:pt idx="1006">
                  <c:v>916.5</c:v>
                </c:pt>
                <c:pt idx="1007">
                  <c:v>245.917</c:v>
                </c:pt>
                <c:pt idx="1008">
                  <c:v>7664.3909999999996</c:v>
                </c:pt>
                <c:pt idx="1009">
                  <c:v>6695.2960000000003</c:v>
                </c:pt>
                <c:pt idx="1010">
                  <c:v>2100.96</c:v>
                </c:pt>
                <c:pt idx="1011">
                  <c:v>1686.2850000000001</c:v>
                </c:pt>
                <c:pt idx="1012">
                  <c:v>3167.1</c:v>
                </c:pt>
                <c:pt idx="1013">
                  <c:v>2327.31</c:v>
                </c:pt>
                <c:pt idx="1014">
                  <c:v>231.88</c:v>
                </c:pt>
                <c:pt idx="1015">
                  <c:v>6981.1699999999992</c:v>
                </c:pt>
                <c:pt idx="1016">
                  <c:v>1036.44</c:v>
                </c:pt>
                <c:pt idx="1017">
                  <c:v>1038.3119999999999</c:v>
                </c:pt>
                <c:pt idx="1018">
                  <c:v>3513.72</c:v>
                </c:pt>
                <c:pt idx="1019">
                  <c:v>2347.87</c:v>
                </c:pt>
                <c:pt idx="1020">
                  <c:v>2249.5</c:v>
                </c:pt>
                <c:pt idx="1021">
                  <c:v>515.49849999999992</c:v>
                </c:pt>
                <c:pt idx="1022">
                  <c:v>184.08600000000001</c:v>
                </c:pt>
                <c:pt idx="1023">
                  <c:v>3566.43</c:v>
                </c:pt>
                <c:pt idx="1024">
                  <c:v>522.88599999999997</c:v>
                </c:pt>
                <c:pt idx="1025">
                  <c:v>2572.752</c:v>
                </c:pt>
                <c:pt idx="1026">
                  <c:v>922.64</c:v>
                </c:pt>
                <c:pt idx="1027">
                  <c:v>1642.36</c:v>
                </c:pt>
                <c:pt idx="1028">
                  <c:v>27.871500000000001</c:v>
                </c:pt>
                <c:pt idx="1029">
                  <c:v>3003.2</c:v>
                </c:pt>
                <c:pt idx="1030">
                  <c:v>354.96900000000011</c:v>
                </c:pt>
                <c:pt idx="1031">
                  <c:v>2730.4380000000001</c:v>
                </c:pt>
                <c:pt idx="1032">
                  <c:v>7361.1509999999998</c:v>
                </c:pt>
                <c:pt idx="1033">
                  <c:v>1836.616</c:v>
                </c:pt>
                <c:pt idx="1034">
                  <c:v>249.03899999999999</c:v>
                </c:pt>
                <c:pt idx="1035">
                  <c:v>425.75200000000001</c:v>
                </c:pt>
                <c:pt idx="1036">
                  <c:v>3992.7359999999999</c:v>
                </c:pt>
                <c:pt idx="1037">
                  <c:v>756.58949999999993</c:v>
                </c:pt>
                <c:pt idx="1038">
                  <c:v>2642.9</c:v>
                </c:pt>
                <c:pt idx="1039">
                  <c:v>5512.1850000000004</c:v>
                </c:pt>
                <c:pt idx="1040">
                  <c:v>4817.5200000000004</c:v>
                </c:pt>
                <c:pt idx="1041">
                  <c:v>6649.6</c:v>
                </c:pt>
                <c:pt idx="1042">
                  <c:v>123.4</c:v>
                </c:pt>
                <c:pt idx="1043">
                  <c:v>251.541</c:v>
                </c:pt>
                <c:pt idx="1044">
                  <c:v>590.96699999999998</c:v>
                </c:pt>
                <c:pt idx="1045">
                  <c:v>2486.9955</c:v>
                </c:pt>
                <c:pt idx="1046">
                  <c:v>2064.65</c:v>
                </c:pt>
                <c:pt idx="1047">
                  <c:v>2766.96</c:v>
                </c:pt>
                <c:pt idx="1048">
                  <c:v>359.4325</c:v>
                </c:pt>
                <c:pt idx="1049">
                  <c:v>461.35</c:v>
                </c:pt>
                <c:pt idx="1050">
                  <c:v>7098</c:v>
                </c:pt>
                <c:pt idx="1051">
                  <c:v>2761.9830000000002</c:v>
                </c:pt>
                <c:pt idx="1052">
                  <c:v>7216.58</c:v>
                </c:pt>
                <c:pt idx="1053">
                  <c:v>644.81400000000008</c:v>
                </c:pt>
                <c:pt idx="1054">
                  <c:v>4783.5360000000001</c:v>
                </c:pt>
                <c:pt idx="1055">
                  <c:v>3886.83</c:v>
                </c:pt>
                <c:pt idx="1056">
                  <c:v>3081.078</c:v>
                </c:pt>
                <c:pt idx="1057">
                  <c:v>1753.703</c:v>
                </c:pt>
                <c:pt idx="1058">
                  <c:v>2505.6640000000002</c:v>
                </c:pt>
                <c:pt idx="1059">
                  <c:v>8726.4</c:v>
                </c:pt>
                <c:pt idx="1060">
                  <c:v>7076.6459999999997</c:v>
                </c:pt>
                <c:pt idx="1061">
                  <c:v>622.38299999999992</c:v>
                </c:pt>
                <c:pt idx="1062">
                  <c:v>2854.3319999999999</c:v>
                </c:pt>
                <c:pt idx="1063">
                  <c:v>3784.788</c:v>
                </c:pt>
                <c:pt idx="1064">
                  <c:v>1161.45</c:v>
                </c:pt>
                <c:pt idx="1065">
                  <c:v>173.44</c:v>
                </c:pt>
                <c:pt idx="1066">
                  <c:v>1959.471</c:v>
                </c:pt>
                <c:pt idx="1067">
                  <c:v>4705.26</c:v>
                </c:pt>
                <c:pt idx="1068">
                  <c:v>183.42599999999999</c:v>
                </c:pt>
                <c:pt idx="1069">
                  <c:v>891.96450000000004</c:v>
                </c:pt>
                <c:pt idx="1070">
                  <c:v>1220.598</c:v>
                </c:pt>
                <c:pt idx="1071">
                  <c:v>215.28</c:v>
                </c:pt>
                <c:pt idx="1072">
                  <c:v>3762</c:v>
                </c:pt>
                <c:pt idx="1073">
                  <c:v>80.959999999999994</c:v>
                </c:pt>
                <c:pt idx="1074">
                  <c:v>716.04</c:v>
                </c:pt>
                <c:pt idx="1075">
                  <c:v>1099.95</c:v>
                </c:pt>
                <c:pt idx="1076">
                  <c:v>10163.48</c:v>
                </c:pt>
                <c:pt idx="1077">
                  <c:v>494.52</c:v>
                </c:pt>
                <c:pt idx="1078">
                  <c:v>1861.2180000000001</c:v>
                </c:pt>
                <c:pt idx="1079">
                  <c:v>4989.2280000000001</c:v>
                </c:pt>
                <c:pt idx="1080">
                  <c:v>4381.5330000000004</c:v>
                </c:pt>
                <c:pt idx="1081">
                  <c:v>1695.92</c:v>
                </c:pt>
                <c:pt idx="1082">
                  <c:v>7253.3159999999998</c:v>
                </c:pt>
                <c:pt idx="1083">
                  <c:v>900.25200000000007</c:v>
                </c:pt>
                <c:pt idx="1084">
                  <c:v>2768.2620000000002</c:v>
                </c:pt>
                <c:pt idx="1085">
                  <c:v>1019.592</c:v>
                </c:pt>
                <c:pt idx="1086">
                  <c:v>1743.8489999999999</c:v>
                </c:pt>
                <c:pt idx="1087">
                  <c:v>8502.4620000000014</c:v>
                </c:pt>
                <c:pt idx="1088">
                  <c:v>4294.4654999999993</c:v>
                </c:pt>
                <c:pt idx="1089">
                  <c:v>1002.2670000000001</c:v>
                </c:pt>
                <c:pt idx="1090">
                  <c:v>4430.1660000000002</c:v>
                </c:pt>
                <c:pt idx="1091">
                  <c:v>6143.76</c:v>
                </c:pt>
                <c:pt idx="1092">
                  <c:v>1681.329</c:v>
                </c:pt>
                <c:pt idx="1093">
                  <c:v>1335.18</c:v>
                </c:pt>
                <c:pt idx="1094">
                  <c:v>8261.6939999999995</c:v>
                </c:pt>
                <c:pt idx="1095">
                  <c:v>1613.1959999999999</c:v>
                </c:pt>
                <c:pt idx="1096">
                  <c:v>1747.77</c:v>
                </c:pt>
                <c:pt idx="1097">
                  <c:v>7035.4719999999998</c:v>
                </c:pt>
                <c:pt idx="1098">
                  <c:v>8608.4599999999991</c:v>
                </c:pt>
                <c:pt idx="1099">
                  <c:v>486.59</c:v>
                </c:pt>
                <c:pt idx="1100">
                  <c:v>1776.31</c:v>
                </c:pt>
                <c:pt idx="1101">
                  <c:v>1194.25</c:v>
                </c:pt>
                <c:pt idx="1102">
                  <c:v>462.8</c:v>
                </c:pt>
                <c:pt idx="1103">
                  <c:v>4128.2460000000001</c:v>
                </c:pt>
                <c:pt idx="1104">
                  <c:v>8573.76</c:v>
                </c:pt>
                <c:pt idx="1105">
                  <c:v>1424.115</c:v>
                </c:pt>
                <c:pt idx="1106">
                  <c:v>1165.068</c:v>
                </c:pt>
                <c:pt idx="1107">
                  <c:v>568.4799999999999</c:v>
                </c:pt>
                <c:pt idx="1108">
                  <c:v>377.08200000000011</c:v>
                </c:pt>
                <c:pt idx="1109">
                  <c:v>1300.2</c:v>
                </c:pt>
                <c:pt idx="1110">
                  <c:v>1282.0999999999999</c:v>
                </c:pt>
                <c:pt idx="1111">
                  <c:v>7846.7039999999997</c:v>
                </c:pt>
                <c:pt idx="1112">
                  <c:v>2154.98</c:v>
                </c:pt>
                <c:pt idx="1113">
                  <c:v>4704.5700000000006</c:v>
                </c:pt>
                <c:pt idx="1114">
                  <c:v>6854.8589999999986</c:v>
                </c:pt>
                <c:pt idx="1115">
                  <c:v>2971.267499999999</c:v>
                </c:pt>
                <c:pt idx="1116">
                  <c:v>4956.5879999999997</c:v>
                </c:pt>
                <c:pt idx="1117">
                  <c:v>2347.105</c:v>
                </c:pt>
                <c:pt idx="1118">
                  <c:v>163.899</c:v>
                </c:pt>
                <c:pt idx="1119">
                  <c:v>3101.2939999999999</c:v>
                </c:pt>
                <c:pt idx="1120">
                  <c:v>1897.29</c:v>
                </c:pt>
                <c:pt idx="1121">
                  <c:v>6651.4795000000004</c:v>
                </c:pt>
                <c:pt idx="1122">
                  <c:v>664.35</c:v>
                </c:pt>
                <c:pt idx="1123">
                  <c:v>2392.404</c:v>
                </c:pt>
                <c:pt idx="1124">
                  <c:v>253.935</c:v>
                </c:pt>
                <c:pt idx="1125">
                  <c:v>3686.21</c:v>
                </c:pt>
                <c:pt idx="1126">
                  <c:v>2219.44</c:v>
                </c:pt>
                <c:pt idx="1127">
                  <c:v>1640.0039999999999</c:v>
                </c:pt>
                <c:pt idx="1128">
                  <c:v>6112.8130000000001</c:v>
                </c:pt>
                <c:pt idx="1129">
                  <c:v>3570.57</c:v>
                </c:pt>
                <c:pt idx="1130">
                  <c:v>10328.6</c:v>
                </c:pt>
                <c:pt idx="1131">
                  <c:v>269.69400000000002</c:v>
                </c:pt>
                <c:pt idx="1132">
                  <c:v>380.64</c:v>
                </c:pt>
                <c:pt idx="1133">
                  <c:v>9505.5670000000009</c:v>
                </c:pt>
                <c:pt idx="1134">
                  <c:v>2011.1849999999999</c:v>
                </c:pt>
                <c:pt idx="1135">
                  <c:v>2504.52</c:v>
                </c:pt>
                <c:pt idx="1136">
                  <c:v>317.98</c:v>
                </c:pt>
                <c:pt idx="1137">
                  <c:v>1162.8900000000001</c:v>
                </c:pt>
                <c:pt idx="1138">
                  <c:v>909.54000000000008</c:v>
                </c:pt>
                <c:pt idx="1139">
                  <c:v>1137.538</c:v>
                </c:pt>
                <c:pt idx="1140">
                  <c:v>6619.2559999999994</c:v>
                </c:pt>
                <c:pt idx="1141">
                  <c:v>320.09300000000002</c:v>
                </c:pt>
                <c:pt idx="1142">
                  <c:v>664.83600000000001</c:v>
                </c:pt>
                <c:pt idx="1143">
                  <c:v>1934.6579999999999</c:v>
                </c:pt>
                <c:pt idx="1144">
                  <c:v>5764.1220000000003</c:v>
                </c:pt>
                <c:pt idx="1145">
                  <c:v>1045.1400000000001</c:v>
                </c:pt>
                <c:pt idx="1146">
                  <c:v>2494.2629999999999</c:v>
                </c:pt>
                <c:pt idx="1147">
                  <c:v>2019.3389999999999</c:v>
                </c:pt>
                <c:pt idx="1148">
                  <c:v>2687.122499999999</c:v>
                </c:pt>
                <c:pt idx="1149">
                  <c:v>1605.92</c:v>
                </c:pt>
                <c:pt idx="1150">
                  <c:v>362.3295</c:v>
                </c:pt>
                <c:pt idx="1151">
                  <c:v>7777.62</c:v>
                </c:pt>
                <c:pt idx="1152">
                  <c:v>741.82050000000004</c:v>
                </c:pt>
                <c:pt idx="1153">
                  <c:v>3150.6779999999999</c:v>
                </c:pt>
                <c:pt idx="1154">
                  <c:v>291.327</c:v>
                </c:pt>
                <c:pt idx="1155">
                  <c:v>2276.0639999999999</c:v>
                </c:pt>
                <c:pt idx="1156">
                  <c:v>1896.5895</c:v>
                </c:pt>
                <c:pt idx="1157">
                  <c:v>1385.2615000000001</c:v>
                </c:pt>
                <c:pt idx="1158">
                  <c:v>289.72800000000001</c:v>
                </c:pt>
                <c:pt idx="1159">
                  <c:v>1009.179</c:v>
                </c:pt>
                <c:pt idx="1160">
                  <c:v>3612.6</c:v>
                </c:pt>
                <c:pt idx="1161">
                  <c:v>1377.663</c:v>
                </c:pt>
                <c:pt idx="1162">
                  <c:v>5782.4279999999999</c:v>
                </c:pt>
                <c:pt idx="1163">
                  <c:v>1118.7719999999999</c:v>
                </c:pt>
                <c:pt idx="1164">
                  <c:v>3015.0720000000001</c:v>
                </c:pt>
                <c:pt idx="1165">
                  <c:v>505.98000000000008</c:v>
                </c:pt>
                <c:pt idx="1166">
                  <c:v>386</c:v>
                </c:pt>
                <c:pt idx="1167">
                  <c:v>1993.0905</c:v>
                </c:pt>
                <c:pt idx="1168">
                  <c:v>960.63600000000008</c:v>
                </c:pt>
                <c:pt idx="1169">
                  <c:v>7720.838999999999</c:v>
                </c:pt>
                <c:pt idx="1170">
                  <c:v>1022.428</c:v>
                </c:pt>
                <c:pt idx="1171">
                  <c:v>2785.433</c:v>
                </c:pt>
                <c:pt idx="1172">
                  <c:v>9057.1099999999988</c:v>
                </c:pt>
                <c:pt idx="1173">
                  <c:v>273.24099999999999</c:v>
                </c:pt>
                <c:pt idx="1174">
                  <c:v>1751.6969999999999</c:v>
                </c:pt>
                <c:pt idx="1175">
                  <c:v>6393.5</c:v>
                </c:pt>
                <c:pt idx="1176">
                  <c:v>7408.62</c:v>
                </c:pt>
                <c:pt idx="1177">
                  <c:v>366.76650000000001</c:v>
                </c:pt>
                <c:pt idx="1178">
                  <c:v>8917.02</c:v>
                </c:pt>
                <c:pt idx="1179">
                  <c:v>537.48</c:v>
                </c:pt>
                <c:pt idx="1180">
                  <c:v>2915.5140000000001</c:v>
                </c:pt>
                <c:pt idx="1181">
                  <c:v>3982.913</c:v>
                </c:pt>
                <c:pt idx="1182">
                  <c:v>2159.4450000000002</c:v>
                </c:pt>
                <c:pt idx="1183">
                  <c:v>3466.3679999999999</c:v>
                </c:pt>
                <c:pt idx="1184">
                  <c:v>265.82</c:v>
                </c:pt>
                <c:pt idx="1185">
                  <c:v>71.38</c:v>
                </c:pt>
                <c:pt idx="1186">
                  <c:v>2304.8429999999998</c:v>
                </c:pt>
                <c:pt idx="1187">
                  <c:v>1798.6255000000001</c:v>
                </c:pt>
                <c:pt idx="1188">
                  <c:v>684.93100000000004</c:v>
                </c:pt>
                <c:pt idx="1189">
                  <c:v>7443.4840000000004</c:v>
                </c:pt>
                <c:pt idx="1190">
                  <c:v>256.63</c:v>
                </c:pt>
                <c:pt idx="1191">
                  <c:v>1611.162</c:v>
                </c:pt>
                <c:pt idx="1192">
                  <c:v>1109.9324999999999</c:v>
                </c:pt>
                <c:pt idx="1193">
                  <c:v>136.22999999999999</c:v>
                </c:pt>
                <c:pt idx="1194">
                  <c:v>422.41500000000002</c:v>
                </c:pt>
                <c:pt idx="1195">
                  <c:v>1908.1224999999999</c:v>
                </c:pt>
                <c:pt idx="1196">
                  <c:v>1556.7919999999999</c:v>
                </c:pt>
                <c:pt idx="1197">
                  <c:v>277.00650000000002</c:v>
                </c:pt>
                <c:pt idx="1198">
                  <c:v>473.22</c:v>
                </c:pt>
                <c:pt idx="1199">
                  <c:v>1470.204</c:v>
                </c:pt>
                <c:pt idx="1200">
                  <c:v>1062.2449999999999</c:v>
                </c:pt>
                <c:pt idx="1201">
                  <c:v>1954.701</c:v>
                </c:pt>
                <c:pt idx="1202">
                  <c:v>4809.47</c:v>
                </c:pt>
                <c:pt idx="1203">
                  <c:v>1873.009</c:v>
                </c:pt>
                <c:pt idx="1204">
                  <c:v>925.39499999999987</c:v>
                </c:pt>
                <c:pt idx="1205">
                  <c:v>2937.48</c:v>
                </c:pt>
                <c:pt idx="1206">
                  <c:v>4460.2879999999996</c:v>
                </c:pt>
                <c:pt idx="1207">
                  <c:v>1734.6120000000001</c:v>
                </c:pt>
                <c:pt idx="1208">
                  <c:v>4106.2139999999999</c:v>
                </c:pt>
                <c:pt idx="1209">
                  <c:v>8862.2099999999991</c:v>
                </c:pt>
                <c:pt idx="1210">
                  <c:v>301.07850000000002</c:v>
                </c:pt>
                <c:pt idx="1211">
                  <c:v>4290.9029999999993</c:v>
                </c:pt>
                <c:pt idx="1212">
                  <c:v>8984.9249999999993</c:v>
                </c:pt>
                <c:pt idx="1213">
                  <c:v>876.12</c:v>
                </c:pt>
                <c:pt idx="1214">
                  <c:v>72.589999999999989</c:v>
                </c:pt>
                <c:pt idx="1215">
                  <c:v>160.28</c:v>
                </c:pt>
                <c:pt idx="1216">
                  <c:v>626.16949999999997</c:v>
                </c:pt>
                <c:pt idx="1217">
                  <c:v>1088.04</c:v>
                </c:pt>
                <c:pt idx="1218">
                  <c:v>8122.5</c:v>
                </c:pt>
                <c:pt idx="1219">
                  <c:v>4496.5934999999999</c:v>
                </c:pt>
                <c:pt idx="1220">
                  <c:v>1060.0740000000001</c:v>
                </c:pt>
                <c:pt idx="1221">
                  <c:v>3268.4560000000001</c:v>
                </c:pt>
                <c:pt idx="1222">
                  <c:v>5414.4719999999998</c:v>
                </c:pt>
                <c:pt idx="1223">
                  <c:v>1655.42</c:v>
                </c:pt>
                <c:pt idx="1224">
                  <c:v>2405.2289999999998</c:v>
                </c:pt>
                <c:pt idx="1225">
                  <c:v>959.1825</c:v>
                </c:pt>
                <c:pt idx="1226">
                  <c:v>2737.9349999999999</c:v>
                </c:pt>
                <c:pt idx="1227">
                  <c:v>795.34</c:v>
                </c:pt>
                <c:pt idx="1228">
                  <c:v>4696.7040000000006</c:v>
                </c:pt>
                <c:pt idx="1229">
                  <c:v>6700.4599999999991</c:v>
                </c:pt>
                <c:pt idx="1230">
                  <c:v>908.81000000000006</c:v>
                </c:pt>
                <c:pt idx="1231">
                  <c:v>6074.8224999999993</c:v>
                </c:pt>
                <c:pt idx="1232">
                  <c:v>3083.68</c:v>
                </c:pt>
                <c:pt idx="1233">
                  <c:v>948.26</c:v>
                </c:pt>
                <c:pt idx="1234">
                  <c:v>7212.9224999999997</c:v>
                </c:pt>
                <c:pt idx="1235">
                  <c:v>57.273000000000003</c:v>
                </c:pt>
                <c:pt idx="1236">
                  <c:v>3497.3249999999998</c:v>
                </c:pt>
                <c:pt idx="1237">
                  <c:v>668.96</c:v>
                </c:pt>
                <c:pt idx="1238">
                  <c:v>3347.47</c:v>
                </c:pt>
                <c:pt idx="1239">
                  <c:v>95.36099999999999</c:v>
                </c:pt>
                <c:pt idx="1240">
                  <c:v>343.72800000000001</c:v>
                </c:pt>
                <c:pt idx="1241">
                  <c:v>105.42</c:v>
                </c:pt>
                <c:pt idx="1242">
                  <c:v>5101.3764999999994</c:v>
                </c:pt>
                <c:pt idx="1243">
                  <c:v>2549.704999999999</c:v>
                </c:pt>
                <c:pt idx="1244">
                  <c:v>288.81000000000012</c:v>
                </c:pt>
                <c:pt idx="1245">
                  <c:v>6648.3374999999996</c:v>
                </c:pt>
                <c:pt idx="1246">
                  <c:v>3840.5839999999998</c:v>
                </c:pt>
                <c:pt idx="1247">
                  <c:v>544.05000000000007</c:v>
                </c:pt>
                <c:pt idx="1248">
                  <c:v>2680.672</c:v>
                </c:pt>
                <c:pt idx="1249">
                  <c:v>4736.34</c:v>
                </c:pt>
                <c:pt idx="1250">
                  <c:v>7947.1259999999993</c:v>
                </c:pt>
                <c:pt idx="1251">
                  <c:v>1854.6659999999999</c:v>
                </c:pt>
                <c:pt idx="1252">
                  <c:v>5195.3980000000001</c:v>
                </c:pt>
                <c:pt idx="1253">
                  <c:v>85.399500000000003</c:v>
                </c:pt>
                <c:pt idx="1254">
                  <c:v>1811.08</c:v>
                </c:pt>
                <c:pt idx="1255">
                  <c:v>934.15</c:v>
                </c:pt>
                <c:pt idx="1256">
                  <c:v>5453.5140000000001</c:v>
                </c:pt>
                <c:pt idx="1257">
                  <c:v>733.76249999999993</c:v>
                </c:pt>
                <c:pt idx="1258">
                  <c:v>2324.8000000000002</c:v>
                </c:pt>
                <c:pt idx="1259">
                  <c:v>606.41999999999996</c:v>
                </c:pt>
                <c:pt idx="1260">
                  <c:v>2116.9499999999998</c:v>
                </c:pt>
                <c:pt idx="1261">
                  <c:v>507.87950000000001</c:v>
                </c:pt>
                <c:pt idx="1262">
                  <c:v>4788.3419999999996</c:v>
                </c:pt>
                <c:pt idx="1263">
                  <c:v>1982.3040000000001</c:v>
                </c:pt>
                <c:pt idx="1264">
                  <c:v>301.33049999999997</c:v>
                </c:pt>
                <c:pt idx="1265">
                  <c:v>7678.9349999999986</c:v>
                </c:pt>
                <c:pt idx="1266">
                  <c:v>3427.02</c:v>
                </c:pt>
                <c:pt idx="1267">
                  <c:v>7822.6894999999986</c:v>
                </c:pt>
                <c:pt idx="1268">
                  <c:v>78.811999999999998</c:v>
                </c:pt>
                <c:pt idx="1269">
                  <c:v>236.952</c:v>
                </c:pt>
                <c:pt idx="1270">
                  <c:v>3944.49</c:v>
                </c:pt>
                <c:pt idx="1271">
                  <c:v>10719.54</c:v>
                </c:pt>
                <c:pt idx="1272">
                  <c:v>6834.4080000000004</c:v>
                </c:pt>
                <c:pt idx="1273">
                  <c:v>7994.34</c:v>
                </c:pt>
                <c:pt idx="1274">
                  <c:v>7378.1370000000006</c:v>
                </c:pt>
                <c:pt idx="1275">
                  <c:v>1282.31</c:v>
                </c:pt>
                <c:pt idx="1276">
                  <c:v>240.0145</c:v>
                </c:pt>
                <c:pt idx="1277">
                  <c:v>1474.76</c:v>
                </c:pt>
                <c:pt idx="1278">
                  <c:v>1709.1165000000001</c:v>
                </c:pt>
                <c:pt idx="1279">
                  <c:v>1197.56</c:v>
                </c:pt>
                <c:pt idx="1280">
                  <c:v>2047.14</c:v>
                </c:pt>
                <c:pt idx="1281">
                  <c:v>3338.5875000000001</c:v>
                </c:pt>
                <c:pt idx="1282">
                  <c:v>2085.5065</c:v>
                </c:pt>
                <c:pt idx="1283">
                  <c:v>2398.559999999999</c:v>
                </c:pt>
                <c:pt idx="1284">
                  <c:v>215.38399999999999</c:v>
                </c:pt>
                <c:pt idx="1285">
                  <c:v>7575.4889999999996</c:v>
                </c:pt>
                <c:pt idx="1286">
                  <c:v>1889.2650000000001</c:v>
                </c:pt>
                <c:pt idx="1287">
                  <c:v>8069.76</c:v>
                </c:pt>
                <c:pt idx="1288">
                  <c:v>855.4</c:v>
                </c:pt>
                <c:pt idx="1289">
                  <c:v>2013.5989999999999</c:v>
                </c:pt>
                <c:pt idx="1290">
                  <c:v>899</c:v>
                </c:pt>
                <c:pt idx="1291">
                  <c:v>7339.8239999999996</c:v>
                </c:pt>
                <c:pt idx="1292">
                  <c:v>3749.2559999999999</c:v>
                </c:pt>
                <c:pt idx="1293">
                  <c:v>4509.1085000000003</c:v>
                </c:pt>
                <c:pt idx="1294">
                  <c:v>139.13</c:v>
                </c:pt>
                <c:pt idx="1295">
                  <c:v>3263.34</c:v>
                </c:pt>
                <c:pt idx="1296">
                  <c:v>4174.3</c:v>
                </c:pt>
                <c:pt idx="1297">
                  <c:v>537.73799999999994</c:v>
                </c:pt>
                <c:pt idx="1298">
                  <c:v>3722.337</c:v>
                </c:pt>
                <c:pt idx="1299">
                  <c:v>5904.3719999999994</c:v>
                </c:pt>
                <c:pt idx="1300">
                  <c:v>1378.16</c:v>
                </c:pt>
                <c:pt idx="1301">
                  <c:v>2811.8159999999998</c:v>
                </c:pt>
                <c:pt idx="1302">
                  <c:v>4921.18</c:v>
                </c:pt>
                <c:pt idx="1303">
                  <c:v>3469.2840000000001</c:v>
                </c:pt>
                <c:pt idx="1304">
                  <c:v>46.988</c:v>
                </c:pt>
                <c:pt idx="1305">
                  <c:v>7468.1</c:v>
                </c:pt>
                <c:pt idx="1306">
                  <c:v>8607.15</c:v>
                </c:pt>
                <c:pt idx="1307">
                  <c:v>6499.0829999999996</c:v>
                </c:pt>
                <c:pt idx="1308">
                  <c:v>3371.7600000000011</c:v>
                </c:pt>
                <c:pt idx="1309">
                  <c:v>3061.47</c:v>
                </c:pt>
                <c:pt idx="1310">
                  <c:v>276.76</c:v>
                </c:pt>
                <c:pt idx="1311">
                  <c:v>2351.3040000000001</c:v>
                </c:pt>
                <c:pt idx="1312">
                  <c:v>240.3</c:v>
                </c:pt>
                <c:pt idx="1313">
                  <c:v>351.28800000000001</c:v>
                </c:pt>
                <c:pt idx="1314">
                  <c:v>83.571999999999989</c:v>
                </c:pt>
                <c:pt idx="1315">
                  <c:v>1009.64</c:v>
                </c:pt>
                <c:pt idx="1316">
                  <c:v>4221.1170000000002</c:v>
                </c:pt>
                <c:pt idx="1317">
                  <c:v>1057.617</c:v>
                </c:pt>
                <c:pt idx="1318">
                  <c:v>3752.64</c:v>
                </c:pt>
                <c:pt idx="1319">
                  <c:v>3807.4859999999999</c:v>
                </c:pt>
                <c:pt idx="1320">
                  <c:v>4619.5174999999999</c:v>
                </c:pt>
                <c:pt idx="1321">
                  <c:v>3279.7710000000002</c:v>
                </c:pt>
                <c:pt idx="1322">
                  <c:v>2667.6</c:v>
                </c:pt>
                <c:pt idx="1323">
                  <c:v>4922.3999999999996</c:v>
                </c:pt>
                <c:pt idx="1324">
                  <c:v>4158.3104999999996</c:v>
                </c:pt>
                <c:pt idx="1325">
                  <c:v>2168.9279999999999</c:v>
                </c:pt>
                <c:pt idx="1326">
                  <c:v>5429.16</c:v>
                </c:pt>
                <c:pt idx="1327">
                  <c:v>1476.585</c:v>
                </c:pt>
                <c:pt idx="1328">
                  <c:v>3667.14</c:v>
                </c:pt>
                <c:pt idx="1329">
                  <c:v>1183.4804999999999</c:v>
                </c:pt>
                <c:pt idx="1330">
                  <c:v>751.45099999999991</c:v>
                </c:pt>
                <c:pt idx="1331">
                  <c:v>551.35149999999999</c:v>
                </c:pt>
                <c:pt idx="1332">
                  <c:v>5173.1679999999997</c:v>
                </c:pt>
                <c:pt idx="1333">
                  <c:v>32.262</c:v>
                </c:pt>
                <c:pt idx="1334">
                  <c:v>359.44200000000001</c:v>
                </c:pt>
                <c:pt idx="1335">
                  <c:v>366.36</c:v>
                </c:pt>
                <c:pt idx="1336">
                  <c:v>1235.556</c:v>
                </c:pt>
                <c:pt idx="1337">
                  <c:v>1684.4960000000001</c:v>
                </c:pt>
                <c:pt idx="1338">
                  <c:v>1372.56</c:v>
                </c:pt>
                <c:pt idx="1339">
                  <c:v>7628.7420000000011</c:v>
                </c:pt>
                <c:pt idx="1340">
                  <c:v>4601.3999999999996</c:v>
                </c:pt>
                <c:pt idx="1341">
                  <c:v>4996.9799999999996</c:v>
                </c:pt>
                <c:pt idx="1342">
                  <c:v>908.02</c:v>
                </c:pt>
                <c:pt idx="1343">
                  <c:v>776.86249999999995</c:v>
                </c:pt>
                <c:pt idx="1344">
                  <c:v>1699.32</c:v>
                </c:pt>
                <c:pt idx="1345">
                  <c:v>1793.7719999999999</c:v>
                </c:pt>
                <c:pt idx="1346">
                  <c:v>5521.1239999999998</c:v>
                </c:pt>
                <c:pt idx="1347">
                  <c:v>580.29499999999996</c:v>
                </c:pt>
                <c:pt idx="1348">
                  <c:v>205.27600000000001</c:v>
                </c:pt>
                <c:pt idx="1349">
                  <c:v>638.28</c:v>
                </c:pt>
                <c:pt idx="1350">
                  <c:v>2375.6480000000001</c:v>
                </c:pt>
                <c:pt idx="1351">
                  <c:v>1163.028</c:v>
                </c:pt>
                <c:pt idx="1352">
                  <c:v>1970.64</c:v>
                </c:pt>
                <c:pt idx="1353">
                  <c:v>6725.8</c:v>
                </c:pt>
                <c:pt idx="1354">
                  <c:v>1135.575</c:v>
                </c:pt>
                <c:pt idx="1355">
                  <c:v>21.75</c:v>
                </c:pt>
                <c:pt idx="1356">
                  <c:v>1745.172</c:v>
                </c:pt>
                <c:pt idx="1357">
                  <c:v>1314.355</c:v>
                </c:pt>
                <c:pt idx="1358">
                  <c:v>327.84300000000002</c:v>
                </c:pt>
                <c:pt idx="1359">
                  <c:v>2757.78</c:v>
                </c:pt>
                <c:pt idx="1360">
                  <c:v>9541.8000000000011</c:v>
                </c:pt>
                <c:pt idx="1361">
                  <c:v>3592.08</c:v>
                </c:pt>
                <c:pt idx="1362">
                  <c:v>8366.08</c:v>
                </c:pt>
                <c:pt idx="1363">
                  <c:v>304.02</c:v>
                </c:pt>
                <c:pt idx="1364">
                  <c:v>5032.5014999999994</c:v>
                </c:pt>
                <c:pt idx="1365">
                  <c:v>750.00599999999997</c:v>
                </c:pt>
                <c:pt idx="1366">
                  <c:v>5159.880000000001</c:v>
                </c:pt>
                <c:pt idx="1367">
                  <c:v>5972.8304999999991</c:v>
                </c:pt>
                <c:pt idx="1368">
                  <c:v>2311.54</c:v>
                </c:pt>
                <c:pt idx="1369">
                  <c:v>4069.889999999999</c:v>
                </c:pt>
                <c:pt idx="1370">
                  <c:v>893.37599999999998</c:v>
                </c:pt>
                <c:pt idx="1371">
                  <c:v>2080</c:v>
                </c:pt>
                <c:pt idx="1372">
                  <c:v>6281.77</c:v>
                </c:pt>
                <c:pt idx="1373">
                  <c:v>649.14300000000003</c:v>
                </c:pt>
                <c:pt idx="1374">
                  <c:v>1588.08</c:v>
                </c:pt>
                <c:pt idx="1375">
                  <c:v>1608.825</c:v>
                </c:pt>
                <c:pt idx="1376">
                  <c:v>2910.7620000000002</c:v>
                </c:pt>
                <c:pt idx="1377">
                  <c:v>114.19</c:v>
                </c:pt>
                <c:pt idx="1378">
                  <c:v>1871.7594999999999</c:v>
                </c:pt>
                <c:pt idx="1379">
                  <c:v>1621.84</c:v>
                </c:pt>
                <c:pt idx="1380">
                  <c:v>2476.8404999999998</c:v>
                </c:pt>
                <c:pt idx="1381">
                  <c:v>1927.44</c:v>
                </c:pt>
                <c:pt idx="1382">
                  <c:v>312.2</c:v>
                </c:pt>
                <c:pt idx="1383">
                  <c:v>309.95999999999998</c:v>
                </c:pt>
                <c:pt idx="1384">
                  <c:v>3480.5970000000002</c:v>
                </c:pt>
                <c:pt idx="1385">
                  <c:v>3822.0875000000001</c:v>
                </c:pt>
                <c:pt idx="1386">
                  <c:v>710.75199999999995</c:v>
                </c:pt>
                <c:pt idx="1387">
                  <c:v>451.76400000000001</c:v>
                </c:pt>
                <c:pt idx="1388">
                  <c:v>4257.2879999999996</c:v>
                </c:pt>
                <c:pt idx="1389">
                  <c:v>6323.4089999999997</c:v>
                </c:pt>
                <c:pt idx="1390">
                  <c:v>2244.2399999999998</c:v>
                </c:pt>
                <c:pt idx="1391">
                  <c:v>2659.752</c:v>
                </c:pt>
                <c:pt idx="1392">
                  <c:v>3311.9850000000001</c:v>
                </c:pt>
                <c:pt idx="1393">
                  <c:v>2366.4</c:v>
                </c:pt>
                <c:pt idx="1394">
                  <c:v>6429.28</c:v>
                </c:pt>
                <c:pt idx="1395">
                  <c:v>2692.9</c:v>
                </c:pt>
                <c:pt idx="1396">
                  <c:v>1227.4760000000001</c:v>
                </c:pt>
                <c:pt idx="1397">
                  <c:v>5608.5974999999989</c:v>
                </c:pt>
                <c:pt idx="1398">
                  <c:v>7342.9679999999989</c:v>
                </c:pt>
                <c:pt idx="1399">
                  <c:v>302.65949999999998</c:v>
                </c:pt>
                <c:pt idx="1400">
                  <c:v>7396.0919999999996</c:v>
                </c:pt>
                <c:pt idx="1401">
                  <c:v>920.37149999999997</c:v>
                </c:pt>
                <c:pt idx="1402">
                  <c:v>1865.61</c:v>
                </c:pt>
                <c:pt idx="1403">
                  <c:v>272.16000000000003</c:v>
                </c:pt>
                <c:pt idx="1404">
                  <c:v>3467.915</c:v>
                </c:pt>
                <c:pt idx="1405">
                  <c:v>4121.5499999999993</c:v>
                </c:pt>
                <c:pt idx="1406">
                  <c:v>405.57749999999999</c:v>
                </c:pt>
                <c:pt idx="1407">
                  <c:v>3756.48</c:v>
                </c:pt>
                <c:pt idx="1408">
                  <c:v>6319.6659999999993</c:v>
                </c:pt>
                <c:pt idx="1409">
                  <c:v>2814.2325000000001</c:v>
                </c:pt>
                <c:pt idx="1410">
                  <c:v>548.2165</c:v>
                </c:pt>
                <c:pt idx="1411">
                  <c:v>2939.382000000001</c:v>
                </c:pt>
                <c:pt idx="1412">
                  <c:v>5071.1849999999986</c:v>
                </c:pt>
                <c:pt idx="1413">
                  <c:v>379.13400000000001</c:v>
                </c:pt>
                <c:pt idx="1414">
                  <c:v>1998.0719999999999</c:v>
                </c:pt>
                <c:pt idx="1415">
                  <c:v>4826.57</c:v>
                </c:pt>
                <c:pt idx="1416">
                  <c:v>4084.5645</c:v>
                </c:pt>
                <c:pt idx="1417">
                  <c:v>1520.5050000000001</c:v>
                </c:pt>
                <c:pt idx="1418">
                  <c:v>1675.8665000000001</c:v>
                </c:pt>
                <c:pt idx="1419">
                  <c:v>377.19000000000011</c:v>
                </c:pt>
                <c:pt idx="1420">
                  <c:v>1532.856</c:v>
                </c:pt>
                <c:pt idx="1421">
                  <c:v>3688.32</c:v>
                </c:pt>
                <c:pt idx="1422">
                  <c:v>2673.3690000000001</c:v>
                </c:pt>
                <c:pt idx="1423">
                  <c:v>4395.0239999999994</c:v>
                </c:pt>
                <c:pt idx="1424">
                  <c:v>7019.36</c:v>
                </c:pt>
                <c:pt idx="1425">
                  <c:v>1745.64</c:v>
                </c:pt>
                <c:pt idx="1426">
                  <c:v>9925.1819999999989</c:v>
                </c:pt>
                <c:pt idx="1427">
                  <c:v>1483.11</c:v>
                </c:pt>
                <c:pt idx="1428">
                  <c:v>1331.2260000000001</c:v>
                </c:pt>
                <c:pt idx="1429">
                  <c:v>7646.56</c:v>
                </c:pt>
                <c:pt idx="1430">
                  <c:v>3860.5140000000001</c:v>
                </c:pt>
                <c:pt idx="1431">
                  <c:v>134.52950000000001</c:v>
                </c:pt>
                <c:pt idx="1432">
                  <c:v>1977.1020000000001</c:v>
                </c:pt>
                <c:pt idx="1433">
                  <c:v>2813.076</c:v>
                </c:pt>
                <c:pt idx="1434">
                  <c:v>3174.6</c:v>
                </c:pt>
                <c:pt idx="1435">
                  <c:v>963.66600000000005</c:v>
                </c:pt>
                <c:pt idx="1436">
                  <c:v>4186.6109999999999</c:v>
                </c:pt>
                <c:pt idx="1437">
                  <c:v>2117.2460000000001</c:v>
                </c:pt>
                <c:pt idx="1438">
                  <c:v>3723.165</c:v>
                </c:pt>
                <c:pt idx="1439">
                  <c:v>3552.12</c:v>
                </c:pt>
                <c:pt idx="1440">
                  <c:v>5571.67</c:v>
                </c:pt>
                <c:pt idx="1441">
                  <c:v>1610.0315000000001</c:v>
                </c:pt>
                <c:pt idx="1442">
                  <c:v>7709.6869999999999</c:v>
                </c:pt>
                <c:pt idx="1443">
                  <c:v>745.56000000000006</c:v>
                </c:pt>
                <c:pt idx="1444">
                  <c:v>2372.34</c:v>
                </c:pt>
                <c:pt idx="1445">
                  <c:v>1494.9</c:v>
                </c:pt>
                <c:pt idx="1446">
                  <c:v>755.61599999999999</c:v>
                </c:pt>
                <c:pt idx="1447">
                  <c:v>4625.9299999999994</c:v>
                </c:pt>
                <c:pt idx="1448">
                  <c:v>1837.3409999999999</c:v>
                </c:pt>
                <c:pt idx="1449">
                  <c:v>3630.1210000000001</c:v>
                </c:pt>
                <c:pt idx="1450">
                  <c:v>4531.9274999999998</c:v>
                </c:pt>
                <c:pt idx="1451">
                  <c:v>3089.9625000000001</c:v>
                </c:pt>
                <c:pt idx="1452">
                  <c:v>209.3295</c:v>
                </c:pt>
                <c:pt idx="1453">
                  <c:v>2428.7049999999999</c:v>
                </c:pt>
                <c:pt idx="1454">
                  <c:v>5225.2560000000003</c:v>
                </c:pt>
                <c:pt idx="1455">
                  <c:v>2726.64</c:v>
                </c:pt>
                <c:pt idx="1456">
                  <c:v>3151.9360000000001</c:v>
                </c:pt>
                <c:pt idx="1457">
                  <c:v>365.74650000000003</c:v>
                </c:pt>
                <c:pt idx="1458">
                  <c:v>6516.6</c:v>
                </c:pt>
                <c:pt idx="1459">
                  <c:v>7744.16</c:v>
                </c:pt>
                <c:pt idx="1460">
                  <c:v>110.16</c:v>
                </c:pt>
                <c:pt idx="1461">
                  <c:v>2469.0120000000002</c:v>
                </c:pt>
                <c:pt idx="1462">
                  <c:v>5727.4359999999997</c:v>
                </c:pt>
                <c:pt idx="1463">
                  <c:v>1470.04</c:v>
                </c:pt>
                <c:pt idx="1464">
                  <c:v>6307.3350000000009</c:v>
                </c:pt>
                <c:pt idx="1465">
                  <c:v>1623.72</c:v>
                </c:pt>
                <c:pt idx="1466">
                  <c:v>421.05599999999998</c:v>
                </c:pt>
                <c:pt idx="1467">
                  <c:v>606.25199999999995</c:v>
                </c:pt>
                <c:pt idx="1468">
                  <c:v>2252.25</c:v>
                </c:pt>
                <c:pt idx="1469">
                  <c:v>521.37</c:v>
                </c:pt>
                <c:pt idx="1470">
                  <c:v>1666.604</c:v>
                </c:pt>
                <c:pt idx="1471">
                  <c:v>3217.44</c:v>
                </c:pt>
                <c:pt idx="1472">
                  <c:v>8005.86</c:v>
                </c:pt>
                <c:pt idx="1473">
                  <c:v>1802.85</c:v>
                </c:pt>
                <c:pt idx="1474">
                  <c:v>3897.2159999999999</c:v>
                </c:pt>
                <c:pt idx="1475">
                  <c:v>1605.9559999999999</c:v>
                </c:pt>
                <c:pt idx="1476">
                  <c:v>147.4</c:v>
                </c:pt>
                <c:pt idx="1477">
                  <c:v>2126.0239999999999</c:v>
                </c:pt>
                <c:pt idx="1478">
                  <c:v>868.13850000000002</c:v>
                </c:pt>
                <c:pt idx="1479">
                  <c:v>2144.88</c:v>
                </c:pt>
                <c:pt idx="1480">
                  <c:v>6960.5280000000002</c:v>
                </c:pt>
                <c:pt idx="1481">
                  <c:v>909.32100000000003</c:v>
                </c:pt>
                <c:pt idx="1482">
                  <c:v>4798.26</c:v>
                </c:pt>
                <c:pt idx="1483">
                  <c:v>740.96199999999999</c:v>
                </c:pt>
                <c:pt idx="1484">
                  <c:v>7012.585</c:v>
                </c:pt>
                <c:pt idx="1485">
                  <c:v>1888.96</c:v>
                </c:pt>
                <c:pt idx="1486">
                  <c:v>1148.24</c:v>
                </c:pt>
                <c:pt idx="1487">
                  <c:v>799.59999999999991</c:v>
                </c:pt>
                <c:pt idx="1488">
                  <c:v>5524.6489999999994</c:v>
                </c:pt>
                <c:pt idx="1489">
                  <c:v>2302.56</c:v>
                </c:pt>
                <c:pt idx="1490">
                  <c:v>1311.6869999999999</c:v>
                </c:pt>
                <c:pt idx="1491">
                  <c:v>2791.0239999999999</c:v>
                </c:pt>
                <c:pt idx="1492">
                  <c:v>708.83299999999997</c:v>
                </c:pt>
                <c:pt idx="1493">
                  <c:v>8970.56</c:v>
                </c:pt>
                <c:pt idx="1494">
                  <c:v>1006.45</c:v>
                </c:pt>
                <c:pt idx="1495">
                  <c:v>1661.816</c:v>
                </c:pt>
                <c:pt idx="1496">
                  <c:v>3209.1750000000002</c:v>
                </c:pt>
                <c:pt idx="1497">
                  <c:v>272.5</c:v>
                </c:pt>
                <c:pt idx="1498">
                  <c:v>3493.511</c:v>
                </c:pt>
                <c:pt idx="1499">
                  <c:v>2878.07</c:v>
                </c:pt>
              </c:numCache>
            </c:numRef>
          </c:xVal>
          <c:yVal>
            <c:numRef>
              <c:f>Rozrahunky!$B$2:$B$1501</c:f>
              <c:numCache>
                <c:formatCode>General</c:formatCode>
                <c:ptCount val="1500"/>
                <c:pt idx="0">
                  <c:v>43.34</c:v>
                </c:pt>
                <c:pt idx="1">
                  <c:v>5.3</c:v>
                </c:pt>
                <c:pt idx="2">
                  <c:v>20.46</c:v>
                </c:pt>
                <c:pt idx="3">
                  <c:v>27.95</c:v>
                </c:pt>
                <c:pt idx="4">
                  <c:v>5.73</c:v>
                </c:pt>
                <c:pt idx="5">
                  <c:v>11.92</c:v>
                </c:pt>
                <c:pt idx="6">
                  <c:v>5.0199999999999996</c:v>
                </c:pt>
                <c:pt idx="7">
                  <c:v>48.01</c:v>
                </c:pt>
                <c:pt idx="8">
                  <c:v>42.11</c:v>
                </c:pt>
                <c:pt idx="9">
                  <c:v>41.1</c:v>
                </c:pt>
                <c:pt idx="10">
                  <c:v>12.14</c:v>
                </c:pt>
                <c:pt idx="11">
                  <c:v>44.89</c:v>
                </c:pt>
                <c:pt idx="12">
                  <c:v>20.350000000000001</c:v>
                </c:pt>
                <c:pt idx="13">
                  <c:v>42.82</c:v>
                </c:pt>
                <c:pt idx="14">
                  <c:v>39.659999999999997</c:v>
                </c:pt>
                <c:pt idx="15">
                  <c:v>8.11</c:v>
                </c:pt>
                <c:pt idx="16">
                  <c:v>34.11</c:v>
                </c:pt>
                <c:pt idx="17">
                  <c:v>34.71</c:v>
                </c:pt>
                <c:pt idx="18">
                  <c:v>19.43</c:v>
                </c:pt>
                <c:pt idx="19">
                  <c:v>7.1</c:v>
                </c:pt>
                <c:pt idx="20">
                  <c:v>28.43</c:v>
                </c:pt>
                <c:pt idx="21">
                  <c:v>46.83</c:v>
                </c:pt>
                <c:pt idx="22">
                  <c:v>36.450000000000003</c:v>
                </c:pt>
                <c:pt idx="23">
                  <c:v>27.97</c:v>
                </c:pt>
                <c:pt idx="24">
                  <c:v>46.69</c:v>
                </c:pt>
                <c:pt idx="25">
                  <c:v>38.130000000000003</c:v>
                </c:pt>
                <c:pt idx="26">
                  <c:v>11.59</c:v>
                </c:pt>
                <c:pt idx="27">
                  <c:v>24.78</c:v>
                </c:pt>
                <c:pt idx="28">
                  <c:v>7.61</c:v>
                </c:pt>
                <c:pt idx="29">
                  <c:v>33.17</c:v>
                </c:pt>
                <c:pt idx="30">
                  <c:v>37.380000000000003</c:v>
                </c:pt>
                <c:pt idx="31">
                  <c:v>12.35</c:v>
                </c:pt>
                <c:pt idx="32">
                  <c:v>21.25</c:v>
                </c:pt>
                <c:pt idx="33">
                  <c:v>17.91</c:v>
                </c:pt>
                <c:pt idx="34">
                  <c:v>41.91</c:v>
                </c:pt>
                <c:pt idx="35">
                  <c:v>12.57</c:v>
                </c:pt>
                <c:pt idx="36">
                  <c:v>40.29</c:v>
                </c:pt>
                <c:pt idx="37">
                  <c:v>34.97</c:v>
                </c:pt>
                <c:pt idx="38">
                  <c:v>24.77</c:v>
                </c:pt>
                <c:pt idx="39">
                  <c:v>34.79</c:v>
                </c:pt>
                <c:pt idx="40">
                  <c:v>17.77</c:v>
                </c:pt>
                <c:pt idx="41">
                  <c:v>21.72</c:v>
                </c:pt>
                <c:pt idx="42">
                  <c:v>34.85</c:v>
                </c:pt>
                <c:pt idx="43">
                  <c:v>27.39</c:v>
                </c:pt>
                <c:pt idx="44">
                  <c:v>11.62</c:v>
                </c:pt>
                <c:pt idx="45">
                  <c:v>20.76</c:v>
                </c:pt>
                <c:pt idx="46">
                  <c:v>24.95</c:v>
                </c:pt>
                <c:pt idx="47">
                  <c:v>6.47</c:v>
                </c:pt>
                <c:pt idx="48">
                  <c:v>20.57</c:v>
                </c:pt>
                <c:pt idx="49">
                  <c:v>20.71</c:v>
                </c:pt>
                <c:pt idx="50">
                  <c:v>12.87</c:v>
                </c:pt>
                <c:pt idx="51">
                  <c:v>42.49</c:v>
                </c:pt>
                <c:pt idx="52">
                  <c:v>19.22</c:v>
                </c:pt>
                <c:pt idx="53">
                  <c:v>36.51</c:v>
                </c:pt>
                <c:pt idx="54">
                  <c:v>37.39</c:v>
                </c:pt>
                <c:pt idx="55">
                  <c:v>36.33</c:v>
                </c:pt>
                <c:pt idx="56">
                  <c:v>7.84</c:v>
                </c:pt>
                <c:pt idx="57">
                  <c:v>18.350000000000001</c:v>
                </c:pt>
                <c:pt idx="58">
                  <c:v>15.95</c:v>
                </c:pt>
                <c:pt idx="59">
                  <c:v>15.69</c:v>
                </c:pt>
                <c:pt idx="60">
                  <c:v>13.66</c:v>
                </c:pt>
                <c:pt idx="61">
                  <c:v>36.54</c:v>
                </c:pt>
                <c:pt idx="62">
                  <c:v>15.62</c:v>
                </c:pt>
                <c:pt idx="63">
                  <c:v>29.5</c:v>
                </c:pt>
                <c:pt idx="64">
                  <c:v>21.77</c:v>
                </c:pt>
                <c:pt idx="65">
                  <c:v>22.43</c:v>
                </c:pt>
                <c:pt idx="66">
                  <c:v>12.24</c:v>
                </c:pt>
                <c:pt idx="67">
                  <c:v>41.27</c:v>
                </c:pt>
                <c:pt idx="68">
                  <c:v>35.14</c:v>
                </c:pt>
                <c:pt idx="69">
                  <c:v>8.3800000000000008</c:v>
                </c:pt>
                <c:pt idx="70">
                  <c:v>15.76</c:v>
                </c:pt>
                <c:pt idx="71">
                  <c:v>5.89</c:v>
                </c:pt>
                <c:pt idx="72">
                  <c:v>6.57</c:v>
                </c:pt>
                <c:pt idx="73">
                  <c:v>33.520000000000003</c:v>
                </c:pt>
                <c:pt idx="74">
                  <c:v>33.590000000000003</c:v>
                </c:pt>
                <c:pt idx="75">
                  <c:v>31.3</c:v>
                </c:pt>
                <c:pt idx="76">
                  <c:v>14.41</c:v>
                </c:pt>
                <c:pt idx="77">
                  <c:v>7.87</c:v>
                </c:pt>
                <c:pt idx="78">
                  <c:v>49.05</c:v>
                </c:pt>
                <c:pt idx="79">
                  <c:v>39.979999999999997</c:v>
                </c:pt>
                <c:pt idx="80">
                  <c:v>38.82</c:v>
                </c:pt>
                <c:pt idx="81">
                  <c:v>24.03</c:v>
                </c:pt>
                <c:pt idx="82">
                  <c:v>12.38</c:v>
                </c:pt>
                <c:pt idx="83">
                  <c:v>41.16</c:v>
                </c:pt>
                <c:pt idx="84">
                  <c:v>40.21</c:v>
                </c:pt>
                <c:pt idx="85">
                  <c:v>37.75</c:v>
                </c:pt>
                <c:pt idx="86">
                  <c:v>23.49</c:v>
                </c:pt>
                <c:pt idx="87">
                  <c:v>33.47</c:v>
                </c:pt>
                <c:pt idx="88">
                  <c:v>36.47</c:v>
                </c:pt>
                <c:pt idx="89">
                  <c:v>48.51</c:v>
                </c:pt>
                <c:pt idx="90">
                  <c:v>18.3</c:v>
                </c:pt>
                <c:pt idx="91">
                  <c:v>14.8</c:v>
                </c:pt>
                <c:pt idx="92">
                  <c:v>18.05</c:v>
                </c:pt>
                <c:pt idx="93">
                  <c:v>5.01</c:v>
                </c:pt>
                <c:pt idx="94">
                  <c:v>11.54</c:v>
                </c:pt>
                <c:pt idx="95">
                  <c:v>6.11</c:v>
                </c:pt>
                <c:pt idx="96">
                  <c:v>27.48</c:v>
                </c:pt>
                <c:pt idx="97">
                  <c:v>44.61</c:v>
                </c:pt>
                <c:pt idx="98">
                  <c:v>43.46</c:v>
                </c:pt>
                <c:pt idx="99">
                  <c:v>17.88</c:v>
                </c:pt>
                <c:pt idx="100">
                  <c:v>48.03</c:v>
                </c:pt>
                <c:pt idx="101">
                  <c:v>32.31</c:v>
                </c:pt>
                <c:pt idx="102">
                  <c:v>6.77</c:v>
                </c:pt>
                <c:pt idx="103">
                  <c:v>28.97</c:v>
                </c:pt>
                <c:pt idx="104">
                  <c:v>47.05</c:v>
                </c:pt>
                <c:pt idx="105">
                  <c:v>26.64</c:v>
                </c:pt>
                <c:pt idx="106">
                  <c:v>28.05</c:v>
                </c:pt>
                <c:pt idx="107">
                  <c:v>26.99</c:v>
                </c:pt>
                <c:pt idx="108">
                  <c:v>21.08</c:v>
                </c:pt>
                <c:pt idx="109">
                  <c:v>49.6</c:v>
                </c:pt>
                <c:pt idx="110">
                  <c:v>41.4</c:v>
                </c:pt>
                <c:pt idx="111">
                  <c:v>8.02</c:v>
                </c:pt>
                <c:pt idx="112">
                  <c:v>43.69</c:v>
                </c:pt>
                <c:pt idx="113">
                  <c:v>23.94</c:v>
                </c:pt>
                <c:pt idx="114">
                  <c:v>28.36</c:v>
                </c:pt>
                <c:pt idx="115">
                  <c:v>38.229999999999997</c:v>
                </c:pt>
                <c:pt idx="116">
                  <c:v>19.170000000000002</c:v>
                </c:pt>
                <c:pt idx="117">
                  <c:v>5.13</c:v>
                </c:pt>
                <c:pt idx="118">
                  <c:v>48.63</c:v>
                </c:pt>
                <c:pt idx="119">
                  <c:v>9.35</c:v>
                </c:pt>
                <c:pt idx="120">
                  <c:v>13.73</c:v>
                </c:pt>
                <c:pt idx="121">
                  <c:v>14.04</c:v>
                </c:pt>
                <c:pt idx="122">
                  <c:v>25.24</c:v>
                </c:pt>
                <c:pt idx="123">
                  <c:v>8.0299999999999994</c:v>
                </c:pt>
                <c:pt idx="124">
                  <c:v>35.229999999999997</c:v>
                </c:pt>
                <c:pt idx="125">
                  <c:v>21.5</c:v>
                </c:pt>
                <c:pt idx="126">
                  <c:v>37.950000000000003</c:v>
                </c:pt>
                <c:pt idx="127">
                  <c:v>26.44</c:v>
                </c:pt>
                <c:pt idx="128">
                  <c:v>21.77</c:v>
                </c:pt>
                <c:pt idx="129">
                  <c:v>46.97</c:v>
                </c:pt>
                <c:pt idx="130">
                  <c:v>17.59</c:v>
                </c:pt>
                <c:pt idx="131">
                  <c:v>28.76</c:v>
                </c:pt>
                <c:pt idx="132">
                  <c:v>33.299999999999997</c:v>
                </c:pt>
                <c:pt idx="133">
                  <c:v>21.76</c:v>
                </c:pt>
                <c:pt idx="134">
                  <c:v>27.04</c:v>
                </c:pt>
                <c:pt idx="135">
                  <c:v>44.75</c:v>
                </c:pt>
                <c:pt idx="136">
                  <c:v>26.09</c:v>
                </c:pt>
                <c:pt idx="137">
                  <c:v>35.39</c:v>
                </c:pt>
                <c:pt idx="138">
                  <c:v>19.420000000000002</c:v>
                </c:pt>
                <c:pt idx="139">
                  <c:v>13.65</c:v>
                </c:pt>
                <c:pt idx="140">
                  <c:v>10.14</c:v>
                </c:pt>
                <c:pt idx="141">
                  <c:v>21.74</c:v>
                </c:pt>
                <c:pt idx="142">
                  <c:v>49.93</c:v>
                </c:pt>
                <c:pt idx="143">
                  <c:v>20.3</c:v>
                </c:pt>
                <c:pt idx="144">
                  <c:v>31.8</c:v>
                </c:pt>
                <c:pt idx="145">
                  <c:v>29.51</c:v>
                </c:pt>
                <c:pt idx="146">
                  <c:v>31</c:v>
                </c:pt>
                <c:pt idx="147">
                  <c:v>33.81</c:v>
                </c:pt>
                <c:pt idx="148">
                  <c:v>10.91</c:v>
                </c:pt>
                <c:pt idx="149">
                  <c:v>47.94</c:v>
                </c:pt>
                <c:pt idx="150">
                  <c:v>32.450000000000003</c:v>
                </c:pt>
                <c:pt idx="151">
                  <c:v>10.88</c:v>
                </c:pt>
                <c:pt idx="152">
                  <c:v>47.39</c:v>
                </c:pt>
                <c:pt idx="153">
                  <c:v>17.61</c:v>
                </c:pt>
                <c:pt idx="154">
                  <c:v>26.32</c:v>
                </c:pt>
                <c:pt idx="155">
                  <c:v>6.04</c:v>
                </c:pt>
                <c:pt idx="156">
                  <c:v>48.66</c:v>
                </c:pt>
                <c:pt idx="157">
                  <c:v>39.979999999999997</c:v>
                </c:pt>
                <c:pt idx="158">
                  <c:v>31.65</c:v>
                </c:pt>
                <c:pt idx="159">
                  <c:v>46.91</c:v>
                </c:pt>
                <c:pt idx="160">
                  <c:v>7.66</c:v>
                </c:pt>
                <c:pt idx="161">
                  <c:v>11</c:v>
                </c:pt>
                <c:pt idx="162">
                  <c:v>8.66</c:v>
                </c:pt>
                <c:pt idx="163">
                  <c:v>8.42</c:v>
                </c:pt>
                <c:pt idx="164">
                  <c:v>39.32</c:v>
                </c:pt>
                <c:pt idx="165">
                  <c:v>42.61</c:v>
                </c:pt>
                <c:pt idx="166">
                  <c:v>49.38</c:v>
                </c:pt>
                <c:pt idx="167">
                  <c:v>5.36</c:v>
                </c:pt>
                <c:pt idx="168">
                  <c:v>28.77</c:v>
                </c:pt>
                <c:pt idx="169">
                  <c:v>18.72</c:v>
                </c:pt>
                <c:pt idx="170">
                  <c:v>7.79</c:v>
                </c:pt>
                <c:pt idx="171">
                  <c:v>38.9</c:v>
                </c:pt>
                <c:pt idx="172">
                  <c:v>47.39</c:v>
                </c:pt>
                <c:pt idx="173">
                  <c:v>7.13</c:v>
                </c:pt>
                <c:pt idx="174">
                  <c:v>5.7</c:v>
                </c:pt>
                <c:pt idx="175">
                  <c:v>21.32</c:v>
                </c:pt>
                <c:pt idx="176">
                  <c:v>44.2</c:v>
                </c:pt>
                <c:pt idx="177">
                  <c:v>10.68</c:v>
                </c:pt>
                <c:pt idx="178">
                  <c:v>23.69</c:v>
                </c:pt>
                <c:pt idx="179">
                  <c:v>24.51</c:v>
                </c:pt>
                <c:pt idx="180">
                  <c:v>41.88</c:v>
                </c:pt>
                <c:pt idx="181">
                  <c:v>37.49</c:v>
                </c:pt>
                <c:pt idx="182">
                  <c:v>29.56</c:v>
                </c:pt>
                <c:pt idx="183">
                  <c:v>5.7</c:v>
                </c:pt>
                <c:pt idx="184">
                  <c:v>23.42</c:v>
                </c:pt>
                <c:pt idx="185">
                  <c:v>35.630000000000003</c:v>
                </c:pt>
                <c:pt idx="186">
                  <c:v>39.74</c:v>
                </c:pt>
                <c:pt idx="187">
                  <c:v>13.63</c:v>
                </c:pt>
                <c:pt idx="188">
                  <c:v>31.02</c:v>
                </c:pt>
                <c:pt idx="189">
                  <c:v>36.94</c:v>
                </c:pt>
                <c:pt idx="190">
                  <c:v>18.54</c:v>
                </c:pt>
                <c:pt idx="191">
                  <c:v>13.01</c:v>
                </c:pt>
                <c:pt idx="192">
                  <c:v>27.65</c:v>
                </c:pt>
                <c:pt idx="193">
                  <c:v>7.02</c:v>
                </c:pt>
                <c:pt idx="194">
                  <c:v>45.77</c:v>
                </c:pt>
                <c:pt idx="195">
                  <c:v>18.170000000000002</c:v>
                </c:pt>
                <c:pt idx="196">
                  <c:v>28.57</c:v>
                </c:pt>
                <c:pt idx="197">
                  <c:v>31.8</c:v>
                </c:pt>
                <c:pt idx="198">
                  <c:v>16.5</c:v>
                </c:pt>
                <c:pt idx="199">
                  <c:v>33.58</c:v>
                </c:pt>
                <c:pt idx="200">
                  <c:v>25.2</c:v>
                </c:pt>
                <c:pt idx="201">
                  <c:v>6.58</c:v>
                </c:pt>
                <c:pt idx="202">
                  <c:v>47.81</c:v>
                </c:pt>
                <c:pt idx="203">
                  <c:v>38.409999999999997</c:v>
                </c:pt>
                <c:pt idx="204">
                  <c:v>24.29</c:v>
                </c:pt>
                <c:pt idx="205">
                  <c:v>7.33</c:v>
                </c:pt>
                <c:pt idx="206">
                  <c:v>14.58</c:v>
                </c:pt>
                <c:pt idx="207">
                  <c:v>49.17</c:v>
                </c:pt>
                <c:pt idx="208">
                  <c:v>9.69</c:v>
                </c:pt>
                <c:pt idx="209">
                  <c:v>26.32</c:v>
                </c:pt>
                <c:pt idx="210">
                  <c:v>9.73</c:v>
                </c:pt>
                <c:pt idx="211">
                  <c:v>27.07</c:v>
                </c:pt>
                <c:pt idx="212">
                  <c:v>43.67</c:v>
                </c:pt>
                <c:pt idx="213">
                  <c:v>14.76</c:v>
                </c:pt>
                <c:pt idx="214">
                  <c:v>11.03</c:v>
                </c:pt>
                <c:pt idx="215">
                  <c:v>18.23</c:v>
                </c:pt>
                <c:pt idx="216">
                  <c:v>38.51</c:v>
                </c:pt>
                <c:pt idx="217">
                  <c:v>9.5399999999999991</c:v>
                </c:pt>
                <c:pt idx="218">
                  <c:v>19.2</c:v>
                </c:pt>
                <c:pt idx="219">
                  <c:v>20.96</c:v>
                </c:pt>
                <c:pt idx="220">
                  <c:v>21.01</c:v>
                </c:pt>
                <c:pt idx="221">
                  <c:v>46.87</c:v>
                </c:pt>
                <c:pt idx="222">
                  <c:v>24.86</c:v>
                </c:pt>
                <c:pt idx="223">
                  <c:v>23.25</c:v>
                </c:pt>
                <c:pt idx="224">
                  <c:v>14.88</c:v>
                </c:pt>
                <c:pt idx="225">
                  <c:v>15.66</c:v>
                </c:pt>
                <c:pt idx="226">
                  <c:v>44.86</c:v>
                </c:pt>
                <c:pt idx="227">
                  <c:v>39.76</c:v>
                </c:pt>
                <c:pt idx="228">
                  <c:v>46.25</c:v>
                </c:pt>
                <c:pt idx="229">
                  <c:v>25.22</c:v>
                </c:pt>
                <c:pt idx="230">
                  <c:v>43.8</c:v>
                </c:pt>
                <c:pt idx="231">
                  <c:v>34.07</c:v>
                </c:pt>
                <c:pt idx="232">
                  <c:v>26.38</c:v>
                </c:pt>
                <c:pt idx="233">
                  <c:v>6.22</c:v>
                </c:pt>
                <c:pt idx="234">
                  <c:v>9.64</c:v>
                </c:pt>
                <c:pt idx="235">
                  <c:v>22.72</c:v>
                </c:pt>
                <c:pt idx="236">
                  <c:v>37.090000000000003</c:v>
                </c:pt>
                <c:pt idx="237">
                  <c:v>29.4</c:v>
                </c:pt>
                <c:pt idx="238">
                  <c:v>32.19</c:v>
                </c:pt>
                <c:pt idx="239">
                  <c:v>8.59</c:v>
                </c:pt>
                <c:pt idx="240">
                  <c:v>24.72</c:v>
                </c:pt>
                <c:pt idx="241">
                  <c:v>19.920000000000002</c:v>
                </c:pt>
                <c:pt idx="242">
                  <c:v>7.46</c:v>
                </c:pt>
                <c:pt idx="243">
                  <c:v>9.6</c:v>
                </c:pt>
                <c:pt idx="244">
                  <c:v>42.74</c:v>
                </c:pt>
                <c:pt idx="245">
                  <c:v>12.35</c:v>
                </c:pt>
                <c:pt idx="246">
                  <c:v>14.74</c:v>
                </c:pt>
                <c:pt idx="247">
                  <c:v>28.92</c:v>
                </c:pt>
                <c:pt idx="248">
                  <c:v>5.15</c:v>
                </c:pt>
                <c:pt idx="249">
                  <c:v>24.39</c:v>
                </c:pt>
                <c:pt idx="250">
                  <c:v>25.16</c:v>
                </c:pt>
                <c:pt idx="251">
                  <c:v>16.8</c:v>
                </c:pt>
                <c:pt idx="252">
                  <c:v>43.17</c:v>
                </c:pt>
                <c:pt idx="253">
                  <c:v>17.64</c:v>
                </c:pt>
                <c:pt idx="254">
                  <c:v>45.54</c:v>
                </c:pt>
                <c:pt idx="255">
                  <c:v>43.73</c:v>
                </c:pt>
                <c:pt idx="256">
                  <c:v>35.369999999999997</c:v>
                </c:pt>
                <c:pt idx="257">
                  <c:v>20.64</c:v>
                </c:pt>
                <c:pt idx="258">
                  <c:v>48.33</c:v>
                </c:pt>
                <c:pt idx="259">
                  <c:v>17.12</c:v>
                </c:pt>
                <c:pt idx="260">
                  <c:v>34.64</c:v>
                </c:pt>
                <c:pt idx="261">
                  <c:v>15.64</c:v>
                </c:pt>
                <c:pt idx="262">
                  <c:v>6.15</c:v>
                </c:pt>
                <c:pt idx="263">
                  <c:v>17.690000000000001</c:v>
                </c:pt>
                <c:pt idx="264">
                  <c:v>25.71</c:v>
                </c:pt>
                <c:pt idx="265">
                  <c:v>48.51</c:v>
                </c:pt>
                <c:pt idx="266">
                  <c:v>33.5</c:v>
                </c:pt>
                <c:pt idx="267">
                  <c:v>26.78</c:v>
                </c:pt>
                <c:pt idx="268">
                  <c:v>17.25</c:v>
                </c:pt>
                <c:pt idx="269">
                  <c:v>37.5</c:v>
                </c:pt>
                <c:pt idx="270">
                  <c:v>17.989999999999998</c:v>
                </c:pt>
                <c:pt idx="271">
                  <c:v>31.22</c:v>
                </c:pt>
                <c:pt idx="272">
                  <c:v>33.14</c:v>
                </c:pt>
                <c:pt idx="273">
                  <c:v>24.48</c:v>
                </c:pt>
                <c:pt idx="274">
                  <c:v>22.42</c:v>
                </c:pt>
                <c:pt idx="275">
                  <c:v>42.37</c:v>
                </c:pt>
                <c:pt idx="276">
                  <c:v>30.49</c:v>
                </c:pt>
                <c:pt idx="277">
                  <c:v>36.04</c:v>
                </c:pt>
                <c:pt idx="278">
                  <c:v>7.03</c:v>
                </c:pt>
                <c:pt idx="279">
                  <c:v>42.34</c:v>
                </c:pt>
                <c:pt idx="280">
                  <c:v>11.88</c:v>
                </c:pt>
                <c:pt idx="281">
                  <c:v>28.33</c:v>
                </c:pt>
                <c:pt idx="282">
                  <c:v>15.74</c:v>
                </c:pt>
                <c:pt idx="283">
                  <c:v>35.020000000000003</c:v>
                </c:pt>
                <c:pt idx="284">
                  <c:v>45.42</c:v>
                </c:pt>
                <c:pt idx="285">
                  <c:v>35.33</c:v>
                </c:pt>
                <c:pt idx="286">
                  <c:v>25.09</c:v>
                </c:pt>
                <c:pt idx="287">
                  <c:v>39.39</c:v>
                </c:pt>
                <c:pt idx="288">
                  <c:v>38.61</c:v>
                </c:pt>
                <c:pt idx="289">
                  <c:v>42.88</c:v>
                </c:pt>
                <c:pt idx="290">
                  <c:v>44.09</c:v>
                </c:pt>
                <c:pt idx="291">
                  <c:v>17.57</c:v>
                </c:pt>
                <c:pt idx="292">
                  <c:v>49.59</c:v>
                </c:pt>
                <c:pt idx="293">
                  <c:v>13.84</c:v>
                </c:pt>
                <c:pt idx="294">
                  <c:v>42.7</c:v>
                </c:pt>
                <c:pt idx="295">
                  <c:v>31.14</c:v>
                </c:pt>
                <c:pt idx="296">
                  <c:v>32.96</c:v>
                </c:pt>
                <c:pt idx="297">
                  <c:v>32.799999999999997</c:v>
                </c:pt>
                <c:pt idx="298">
                  <c:v>25.3</c:v>
                </c:pt>
                <c:pt idx="299">
                  <c:v>21.11</c:v>
                </c:pt>
                <c:pt idx="300">
                  <c:v>22.94</c:v>
                </c:pt>
                <c:pt idx="301">
                  <c:v>37.049999999999997</c:v>
                </c:pt>
                <c:pt idx="302">
                  <c:v>12.18</c:v>
                </c:pt>
                <c:pt idx="303">
                  <c:v>13.43</c:v>
                </c:pt>
                <c:pt idx="304">
                  <c:v>46.28</c:v>
                </c:pt>
                <c:pt idx="305">
                  <c:v>35.020000000000003</c:v>
                </c:pt>
                <c:pt idx="306">
                  <c:v>44.69</c:v>
                </c:pt>
                <c:pt idx="307">
                  <c:v>35.96</c:v>
                </c:pt>
                <c:pt idx="308">
                  <c:v>27.81</c:v>
                </c:pt>
                <c:pt idx="309">
                  <c:v>18.63</c:v>
                </c:pt>
                <c:pt idx="310">
                  <c:v>18.77</c:v>
                </c:pt>
                <c:pt idx="311">
                  <c:v>45.98</c:v>
                </c:pt>
                <c:pt idx="312">
                  <c:v>37.380000000000003</c:v>
                </c:pt>
                <c:pt idx="313">
                  <c:v>33.380000000000003</c:v>
                </c:pt>
                <c:pt idx="314">
                  <c:v>48.55</c:v>
                </c:pt>
                <c:pt idx="315">
                  <c:v>7.78</c:v>
                </c:pt>
                <c:pt idx="316">
                  <c:v>34.35</c:v>
                </c:pt>
                <c:pt idx="317">
                  <c:v>43.81</c:v>
                </c:pt>
                <c:pt idx="318">
                  <c:v>18.59</c:v>
                </c:pt>
                <c:pt idx="319">
                  <c:v>22.06</c:v>
                </c:pt>
                <c:pt idx="320">
                  <c:v>18.39</c:v>
                </c:pt>
                <c:pt idx="321">
                  <c:v>5.93</c:v>
                </c:pt>
                <c:pt idx="322">
                  <c:v>36.270000000000003</c:v>
                </c:pt>
                <c:pt idx="323">
                  <c:v>46.83</c:v>
                </c:pt>
                <c:pt idx="324">
                  <c:v>47.61</c:v>
                </c:pt>
                <c:pt idx="325">
                  <c:v>44.78</c:v>
                </c:pt>
                <c:pt idx="326">
                  <c:v>36.979999999999997</c:v>
                </c:pt>
                <c:pt idx="327">
                  <c:v>25.88</c:v>
                </c:pt>
                <c:pt idx="328">
                  <c:v>14.59</c:v>
                </c:pt>
                <c:pt idx="329">
                  <c:v>20.11</c:v>
                </c:pt>
                <c:pt idx="330">
                  <c:v>13.31</c:v>
                </c:pt>
                <c:pt idx="331">
                  <c:v>26.39</c:v>
                </c:pt>
                <c:pt idx="332">
                  <c:v>19.579999999999998</c:v>
                </c:pt>
                <c:pt idx="333">
                  <c:v>8.36</c:v>
                </c:pt>
                <c:pt idx="334">
                  <c:v>9.9700000000000006</c:v>
                </c:pt>
                <c:pt idx="335">
                  <c:v>41.48</c:v>
                </c:pt>
                <c:pt idx="336">
                  <c:v>5.91</c:v>
                </c:pt>
                <c:pt idx="337">
                  <c:v>22.65</c:v>
                </c:pt>
                <c:pt idx="338">
                  <c:v>7.72</c:v>
                </c:pt>
                <c:pt idx="339">
                  <c:v>17.059999999999999</c:v>
                </c:pt>
                <c:pt idx="340">
                  <c:v>33.99</c:v>
                </c:pt>
                <c:pt idx="341">
                  <c:v>47.86</c:v>
                </c:pt>
                <c:pt idx="342">
                  <c:v>18.100000000000001</c:v>
                </c:pt>
                <c:pt idx="343">
                  <c:v>39.35</c:v>
                </c:pt>
                <c:pt idx="344">
                  <c:v>5.22</c:v>
                </c:pt>
                <c:pt idx="345">
                  <c:v>28.65</c:v>
                </c:pt>
                <c:pt idx="346">
                  <c:v>5.29</c:v>
                </c:pt>
                <c:pt idx="347">
                  <c:v>8.2200000000000006</c:v>
                </c:pt>
                <c:pt idx="348">
                  <c:v>43.69</c:v>
                </c:pt>
                <c:pt idx="349">
                  <c:v>48.02</c:v>
                </c:pt>
                <c:pt idx="350">
                  <c:v>42.33</c:v>
                </c:pt>
                <c:pt idx="351">
                  <c:v>32.770000000000003</c:v>
                </c:pt>
                <c:pt idx="352">
                  <c:v>10.46</c:v>
                </c:pt>
                <c:pt idx="353">
                  <c:v>47.56</c:v>
                </c:pt>
                <c:pt idx="354">
                  <c:v>37.53</c:v>
                </c:pt>
                <c:pt idx="355">
                  <c:v>46.37</c:v>
                </c:pt>
                <c:pt idx="356">
                  <c:v>22.13</c:v>
                </c:pt>
                <c:pt idx="357">
                  <c:v>10.57</c:v>
                </c:pt>
                <c:pt idx="358">
                  <c:v>11.17</c:v>
                </c:pt>
                <c:pt idx="359">
                  <c:v>7.9</c:v>
                </c:pt>
                <c:pt idx="360">
                  <c:v>41.5</c:v>
                </c:pt>
                <c:pt idx="361">
                  <c:v>10.58</c:v>
                </c:pt>
                <c:pt idx="362">
                  <c:v>20.39</c:v>
                </c:pt>
                <c:pt idx="363">
                  <c:v>49.79</c:v>
                </c:pt>
                <c:pt idx="364">
                  <c:v>39.28</c:v>
                </c:pt>
                <c:pt idx="365">
                  <c:v>48.77</c:v>
                </c:pt>
                <c:pt idx="366">
                  <c:v>13.33</c:v>
                </c:pt>
                <c:pt idx="367">
                  <c:v>28.92</c:v>
                </c:pt>
                <c:pt idx="368">
                  <c:v>41.61</c:v>
                </c:pt>
                <c:pt idx="369">
                  <c:v>41.98</c:v>
                </c:pt>
                <c:pt idx="370">
                  <c:v>13.17</c:v>
                </c:pt>
                <c:pt idx="371">
                  <c:v>19.440000000000001</c:v>
                </c:pt>
                <c:pt idx="372">
                  <c:v>48.13</c:v>
                </c:pt>
                <c:pt idx="373">
                  <c:v>19.739999999999998</c:v>
                </c:pt>
                <c:pt idx="374">
                  <c:v>34.130000000000003</c:v>
                </c:pt>
                <c:pt idx="375">
                  <c:v>39.1</c:v>
                </c:pt>
                <c:pt idx="376">
                  <c:v>23.7</c:v>
                </c:pt>
                <c:pt idx="377">
                  <c:v>44.6</c:v>
                </c:pt>
                <c:pt idx="378">
                  <c:v>31.75</c:v>
                </c:pt>
                <c:pt idx="379">
                  <c:v>45.74</c:v>
                </c:pt>
                <c:pt idx="380">
                  <c:v>8.92</c:v>
                </c:pt>
                <c:pt idx="381">
                  <c:v>11.13</c:v>
                </c:pt>
                <c:pt idx="382">
                  <c:v>34.270000000000003</c:v>
                </c:pt>
                <c:pt idx="383">
                  <c:v>22.95</c:v>
                </c:pt>
                <c:pt idx="384">
                  <c:v>16.989999999999998</c:v>
                </c:pt>
                <c:pt idx="385">
                  <c:v>10.220000000000001</c:v>
                </c:pt>
                <c:pt idx="386">
                  <c:v>49.95</c:v>
                </c:pt>
                <c:pt idx="387">
                  <c:v>5.86</c:v>
                </c:pt>
                <c:pt idx="388">
                  <c:v>19.920000000000002</c:v>
                </c:pt>
                <c:pt idx="389">
                  <c:v>49.9</c:v>
                </c:pt>
                <c:pt idx="390">
                  <c:v>39.99</c:v>
                </c:pt>
                <c:pt idx="391">
                  <c:v>17.68</c:v>
                </c:pt>
                <c:pt idx="392">
                  <c:v>47.78</c:v>
                </c:pt>
                <c:pt idx="393">
                  <c:v>22.59</c:v>
                </c:pt>
                <c:pt idx="394">
                  <c:v>29.24</c:v>
                </c:pt>
                <c:pt idx="395">
                  <c:v>23.09</c:v>
                </c:pt>
                <c:pt idx="396">
                  <c:v>11.9</c:v>
                </c:pt>
                <c:pt idx="397">
                  <c:v>27.51</c:v>
                </c:pt>
                <c:pt idx="398">
                  <c:v>16.739999999999998</c:v>
                </c:pt>
                <c:pt idx="399">
                  <c:v>21.02</c:v>
                </c:pt>
                <c:pt idx="400">
                  <c:v>43.92</c:v>
                </c:pt>
                <c:pt idx="401">
                  <c:v>25.72</c:v>
                </c:pt>
                <c:pt idx="402">
                  <c:v>43.42</c:v>
                </c:pt>
                <c:pt idx="403">
                  <c:v>44.88</c:v>
                </c:pt>
                <c:pt idx="404">
                  <c:v>37.909999999999997</c:v>
                </c:pt>
                <c:pt idx="405">
                  <c:v>37.119999999999997</c:v>
                </c:pt>
                <c:pt idx="406">
                  <c:v>28.41</c:v>
                </c:pt>
                <c:pt idx="407">
                  <c:v>35.6</c:v>
                </c:pt>
                <c:pt idx="408">
                  <c:v>39.380000000000003</c:v>
                </c:pt>
                <c:pt idx="409">
                  <c:v>37.090000000000003</c:v>
                </c:pt>
                <c:pt idx="410">
                  <c:v>29.31</c:v>
                </c:pt>
                <c:pt idx="411">
                  <c:v>48.15</c:v>
                </c:pt>
                <c:pt idx="412">
                  <c:v>40.86</c:v>
                </c:pt>
                <c:pt idx="413">
                  <c:v>46.46</c:v>
                </c:pt>
                <c:pt idx="414">
                  <c:v>5.66</c:v>
                </c:pt>
                <c:pt idx="415">
                  <c:v>10.199999999999999</c:v>
                </c:pt>
                <c:pt idx="416">
                  <c:v>24.69</c:v>
                </c:pt>
                <c:pt idx="417">
                  <c:v>32.5</c:v>
                </c:pt>
                <c:pt idx="418">
                  <c:v>45.93</c:v>
                </c:pt>
                <c:pt idx="419">
                  <c:v>30.35</c:v>
                </c:pt>
                <c:pt idx="420">
                  <c:v>25.48</c:v>
                </c:pt>
                <c:pt idx="421">
                  <c:v>21.47</c:v>
                </c:pt>
                <c:pt idx="422">
                  <c:v>28.29</c:v>
                </c:pt>
                <c:pt idx="423">
                  <c:v>25.03</c:v>
                </c:pt>
                <c:pt idx="424">
                  <c:v>35.54</c:v>
                </c:pt>
                <c:pt idx="425">
                  <c:v>46.37</c:v>
                </c:pt>
                <c:pt idx="426">
                  <c:v>5.36</c:v>
                </c:pt>
                <c:pt idx="427">
                  <c:v>23.03</c:v>
                </c:pt>
                <c:pt idx="428">
                  <c:v>39.840000000000003</c:v>
                </c:pt>
                <c:pt idx="429">
                  <c:v>46.58</c:v>
                </c:pt>
                <c:pt idx="430">
                  <c:v>27.36</c:v>
                </c:pt>
                <c:pt idx="431">
                  <c:v>9.51</c:v>
                </c:pt>
                <c:pt idx="432">
                  <c:v>17.920000000000002</c:v>
                </c:pt>
                <c:pt idx="433">
                  <c:v>8.4700000000000006</c:v>
                </c:pt>
                <c:pt idx="434">
                  <c:v>41.03</c:v>
                </c:pt>
                <c:pt idx="435">
                  <c:v>19.61</c:v>
                </c:pt>
                <c:pt idx="436">
                  <c:v>18.649999999999999</c:v>
                </c:pt>
                <c:pt idx="437">
                  <c:v>29.81</c:v>
                </c:pt>
                <c:pt idx="438">
                  <c:v>34.700000000000003</c:v>
                </c:pt>
                <c:pt idx="439">
                  <c:v>12.46</c:v>
                </c:pt>
                <c:pt idx="440">
                  <c:v>48.71</c:v>
                </c:pt>
                <c:pt idx="441">
                  <c:v>36.79</c:v>
                </c:pt>
                <c:pt idx="442">
                  <c:v>33.950000000000003</c:v>
                </c:pt>
                <c:pt idx="443">
                  <c:v>28.52</c:v>
                </c:pt>
                <c:pt idx="444">
                  <c:v>16.8</c:v>
                </c:pt>
                <c:pt idx="445">
                  <c:v>16.440000000000001</c:v>
                </c:pt>
                <c:pt idx="446">
                  <c:v>42.03</c:v>
                </c:pt>
                <c:pt idx="447">
                  <c:v>45.99</c:v>
                </c:pt>
                <c:pt idx="448">
                  <c:v>27.16</c:v>
                </c:pt>
                <c:pt idx="449">
                  <c:v>20.38</c:v>
                </c:pt>
                <c:pt idx="450">
                  <c:v>32.130000000000003</c:v>
                </c:pt>
                <c:pt idx="451">
                  <c:v>14.93</c:v>
                </c:pt>
                <c:pt idx="452">
                  <c:v>10.24</c:v>
                </c:pt>
                <c:pt idx="453">
                  <c:v>18.07</c:v>
                </c:pt>
                <c:pt idx="454">
                  <c:v>8.1</c:v>
                </c:pt>
                <c:pt idx="455">
                  <c:v>24.55</c:v>
                </c:pt>
                <c:pt idx="456">
                  <c:v>16.71</c:v>
                </c:pt>
                <c:pt idx="457">
                  <c:v>35.28</c:v>
                </c:pt>
                <c:pt idx="458">
                  <c:v>48.68</c:v>
                </c:pt>
                <c:pt idx="459">
                  <c:v>33.76</c:v>
                </c:pt>
                <c:pt idx="460">
                  <c:v>19.57</c:v>
                </c:pt>
                <c:pt idx="461">
                  <c:v>48.02</c:v>
                </c:pt>
                <c:pt idx="462">
                  <c:v>33.31</c:v>
                </c:pt>
                <c:pt idx="463">
                  <c:v>45.03</c:v>
                </c:pt>
                <c:pt idx="464">
                  <c:v>31.51</c:v>
                </c:pt>
                <c:pt idx="465">
                  <c:v>38.99</c:v>
                </c:pt>
                <c:pt idx="466">
                  <c:v>11.6</c:v>
                </c:pt>
                <c:pt idx="467">
                  <c:v>43.55</c:v>
                </c:pt>
                <c:pt idx="468">
                  <c:v>46.1</c:v>
                </c:pt>
                <c:pt idx="469">
                  <c:v>26.7</c:v>
                </c:pt>
                <c:pt idx="470">
                  <c:v>45.33</c:v>
                </c:pt>
                <c:pt idx="471">
                  <c:v>33.21</c:v>
                </c:pt>
                <c:pt idx="472">
                  <c:v>48.21</c:v>
                </c:pt>
                <c:pt idx="473">
                  <c:v>49.67</c:v>
                </c:pt>
                <c:pt idx="474">
                  <c:v>9.48</c:v>
                </c:pt>
                <c:pt idx="475">
                  <c:v>18.850000000000001</c:v>
                </c:pt>
                <c:pt idx="476">
                  <c:v>43.28</c:v>
                </c:pt>
                <c:pt idx="477">
                  <c:v>20.55</c:v>
                </c:pt>
                <c:pt idx="478">
                  <c:v>25.33</c:v>
                </c:pt>
                <c:pt idx="479">
                  <c:v>30.57</c:v>
                </c:pt>
                <c:pt idx="480">
                  <c:v>26.96</c:v>
                </c:pt>
                <c:pt idx="481">
                  <c:v>12.45</c:v>
                </c:pt>
                <c:pt idx="482">
                  <c:v>45.67</c:v>
                </c:pt>
                <c:pt idx="483">
                  <c:v>42.1</c:v>
                </c:pt>
                <c:pt idx="484">
                  <c:v>17.62</c:v>
                </c:pt>
                <c:pt idx="485">
                  <c:v>38.96</c:v>
                </c:pt>
                <c:pt idx="486">
                  <c:v>25.64</c:v>
                </c:pt>
                <c:pt idx="487">
                  <c:v>11.56</c:v>
                </c:pt>
                <c:pt idx="488">
                  <c:v>37.270000000000003</c:v>
                </c:pt>
                <c:pt idx="489">
                  <c:v>38.04</c:v>
                </c:pt>
                <c:pt idx="490">
                  <c:v>19.579999999999998</c:v>
                </c:pt>
                <c:pt idx="491">
                  <c:v>27.37</c:v>
                </c:pt>
                <c:pt idx="492">
                  <c:v>18.75</c:v>
                </c:pt>
                <c:pt idx="493">
                  <c:v>11.5</c:v>
                </c:pt>
                <c:pt idx="494">
                  <c:v>20.45</c:v>
                </c:pt>
                <c:pt idx="495">
                  <c:v>10.45</c:v>
                </c:pt>
                <c:pt idx="496">
                  <c:v>32.61</c:v>
                </c:pt>
                <c:pt idx="497">
                  <c:v>14.69</c:v>
                </c:pt>
                <c:pt idx="498">
                  <c:v>36.33</c:v>
                </c:pt>
                <c:pt idx="499">
                  <c:v>25.34</c:v>
                </c:pt>
                <c:pt idx="500">
                  <c:v>32.04</c:v>
                </c:pt>
                <c:pt idx="501">
                  <c:v>14.53</c:v>
                </c:pt>
                <c:pt idx="502">
                  <c:v>35.630000000000003</c:v>
                </c:pt>
                <c:pt idx="503">
                  <c:v>33.9</c:v>
                </c:pt>
                <c:pt idx="504">
                  <c:v>23.26</c:v>
                </c:pt>
                <c:pt idx="505">
                  <c:v>12.29</c:v>
                </c:pt>
                <c:pt idx="506">
                  <c:v>22.63</c:v>
                </c:pt>
                <c:pt idx="507">
                  <c:v>6.43</c:v>
                </c:pt>
                <c:pt idx="508">
                  <c:v>24.53</c:v>
                </c:pt>
                <c:pt idx="509">
                  <c:v>8.8699999999999992</c:v>
                </c:pt>
                <c:pt idx="510">
                  <c:v>17.72</c:v>
                </c:pt>
                <c:pt idx="511">
                  <c:v>45.89</c:v>
                </c:pt>
                <c:pt idx="512">
                  <c:v>15.74</c:v>
                </c:pt>
                <c:pt idx="513">
                  <c:v>42.07</c:v>
                </c:pt>
                <c:pt idx="514">
                  <c:v>28.55</c:v>
                </c:pt>
                <c:pt idx="515">
                  <c:v>21.01</c:v>
                </c:pt>
                <c:pt idx="516">
                  <c:v>38.22</c:v>
                </c:pt>
                <c:pt idx="517">
                  <c:v>10.02</c:v>
                </c:pt>
                <c:pt idx="518">
                  <c:v>44.73</c:v>
                </c:pt>
                <c:pt idx="519">
                  <c:v>8.02</c:v>
                </c:pt>
                <c:pt idx="520">
                  <c:v>31.4</c:v>
                </c:pt>
                <c:pt idx="521">
                  <c:v>37.33</c:v>
                </c:pt>
                <c:pt idx="522">
                  <c:v>25.19</c:v>
                </c:pt>
                <c:pt idx="523">
                  <c:v>7.89</c:v>
                </c:pt>
                <c:pt idx="524">
                  <c:v>47.18</c:v>
                </c:pt>
                <c:pt idx="525">
                  <c:v>18.95</c:v>
                </c:pt>
                <c:pt idx="526">
                  <c:v>23.68</c:v>
                </c:pt>
                <c:pt idx="527">
                  <c:v>44.46</c:v>
                </c:pt>
                <c:pt idx="528">
                  <c:v>5.71</c:v>
                </c:pt>
                <c:pt idx="529">
                  <c:v>11.39</c:v>
                </c:pt>
                <c:pt idx="530">
                  <c:v>38.020000000000003</c:v>
                </c:pt>
                <c:pt idx="531">
                  <c:v>6.83</c:v>
                </c:pt>
                <c:pt idx="532">
                  <c:v>8.06</c:v>
                </c:pt>
                <c:pt idx="533">
                  <c:v>6.76</c:v>
                </c:pt>
                <c:pt idx="534">
                  <c:v>36.35</c:v>
                </c:pt>
                <c:pt idx="535">
                  <c:v>29.75</c:v>
                </c:pt>
                <c:pt idx="536">
                  <c:v>35.32</c:v>
                </c:pt>
                <c:pt idx="537">
                  <c:v>45.59</c:v>
                </c:pt>
                <c:pt idx="538">
                  <c:v>36.04</c:v>
                </c:pt>
                <c:pt idx="539">
                  <c:v>36.71</c:v>
                </c:pt>
                <c:pt idx="540">
                  <c:v>48.26</c:v>
                </c:pt>
                <c:pt idx="541">
                  <c:v>44.99</c:v>
                </c:pt>
                <c:pt idx="542">
                  <c:v>41.72</c:v>
                </c:pt>
                <c:pt idx="543">
                  <c:v>41.87</c:v>
                </c:pt>
                <c:pt idx="544">
                  <c:v>24.53</c:v>
                </c:pt>
                <c:pt idx="545">
                  <c:v>35.840000000000003</c:v>
                </c:pt>
                <c:pt idx="546">
                  <c:v>22.05</c:v>
                </c:pt>
                <c:pt idx="547">
                  <c:v>21.61</c:v>
                </c:pt>
                <c:pt idx="548">
                  <c:v>25.27</c:v>
                </c:pt>
                <c:pt idx="549">
                  <c:v>28.65</c:v>
                </c:pt>
                <c:pt idx="550">
                  <c:v>39.4</c:v>
                </c:pt>
                <c:pt idx="551">
                  <c:v>48.33</c:v>
                </c:pt>
                <c:pt idx="552">
                  <c:v>16.899999999999999</c:v>
                </c:pt>
                <c:pt idx="553">
                  <c:v>10.77</c:v>
                </c:pt>
                <c:pt idx="554">
                  <c:v>13.28</c:v>
                </c:pt>
                <c:pt idx="555">
                  <c:v>33.4</c:v>
                </c:pt>
                <c:pt idx="556">
                  <c:v>34.32</c:v>
                </c:pt>
                <c:pt idx="557">
                  <c:v>8.66</c:v>
                </c:pt>
                <c:pt idx="558">
                  <c:v>6.04</c:v>
                </c:pt>
                <c:pt idx="559">
                  <c:v>37.659999999999997</c:v>
                </c:pt>
                <c:pt idx="560">
                  <c:v>46.02</c:v>
                </c:pt>
                <c:pt idx="561">
                  <c:v>27.1</c:v>
                </c:pt>
                <c:pt idx="562">
                  <c:v>38.85</c:v>
                </c:pt>
                <c:pt idx="563">
                  <c:v>12.97</c:v>
                </c:pt>
                <c:pt idx="564">
                  <c:v>35.26</c:v>
                </c:pt>
                <c:pt idx="565">
                  <c:v>26.73</c:v>
                </c:pt>
                <c:pt idx="566">
                  <c:v>39.92</c:v>
                </c:pt>
                <c:pt idx="567">
                  <c:v>32.119999999999997</c:v>
                </c:pt>
                <c:pt idx="568">
                  <c:v>26.31</c:v>
                </c:pt>
                <c:pt idx="569">
                  <c:v>11.91</c:v>
                </c:pt>
                <c:pt idx="570">
                  <c:v>31.76</c:v>
                </c:pt>
                <c:pt idx="571">
                  <c:v>8.75</c:v>
                </c:pt>
                <c:pt idx="572">
                  <c:v>8.44</c:v>
                </c:pt>
                <c:pt idx="573">
                  <c:v>17.12</c:v>
                </c:pt>
                <c:pt idx="574">
                  <c:v>38.97</c:v>
                </c:pt>
                <c:pt idx="575">
                  <c:v>13.97</c:v>
                </c:pt>
                <c:pt idx="576">
                  <c:v>22.33</c:v>
                </c:pt>
                <c:pt idx="577">
                  <c:v>16.84</c:v>
                </c:pt>
                <c:pt idx="578">
                  <c:v>27.68</c:v>
                </c:pt>
                <c:pt idx="579">
                  <c:v>42.04</c:v>
                </c:pt>
                <c:pt idx="580">
                  <c:v>41.94</c:v>
                </c:pt>
                <c:pt idx="581">
                  <c:v>13.61</c:v>
                </c:pt>
                <c:pt idx="582">
                  <c:v>20.02</c:v>
                </c:pt>
                <c:pt idx="583">
                  <c:v>46.35</c:v>
                </c:pt>
                <c:pt idx="584">
                  <c:v>46.59</c:v>
                </c:pt>
                <c:pt idx="585">
                  <c:v>32.86</c:v>
                </c:pt>
                <c:pt idx="586">
                  <c:v>23.84</c:v>
                </c:pt>
                <c:pt idx="587">
                  <c:v>11.13</c:v>
                </c:pt>
                <c:pt idx="588">
                  <c:v>49.12</c:v>
                </c:pt>
                <c:pt idx="589">
                  <c:v>5.32</c:v>
                </c:pt>
                <c:pt idx="590">
                  <c:v>22</c:v>
                </c:pt>
                <c:pt idx="591">
                  <c:v>6.16</c:v>
                </c:pt>
                <c:pt idx="592">
                  <c:v>41.73</c:v>
                </c:pt>
                <c:pt idx="593">
                  <c:v>48.49</c:v>
                </c:pt>
                <c:pt idx="594">
                  <c:v>15.98</c:v>
                </c:pt>
                <c:pt idx="595">
                  <c:v>43.84</c:v>
                </c:pt>
                <c:pt idx="596">
                  <c:v>40.380000000000003</c:v>
                </c:pt>
                <c:pt idx="597">
                  <c:v>48.8</c:v>
                </c:pt>
                <c:pt idx="598">
                  <c:v>22.28</c:v>
                </c:pt>
                <c:pt idx="599">
                  <c:v>44.35</c:v>
                </c:pt>
                <c:pt idx="600">
                  <c:v>47.24</c:v>
                </c:pt>
                <c:pt idx="601">
                  <c:v>11.17</c:v>
                </c:pt>
                <c:pt idx="602">
                  <c:v>31.61</c:v>
                </c:pt>
                <c:pt idx="603">
                  <c:v>48.38</c:v>
                </c:pt>
                <c:pt idx="604">
                  <c:v>8.39</c:v>
                </c:pt>
                <c:pt idx="605">
                  <c:v>15.97</c:v>
                </c:pt>
                <c:pt idx="606">
                  <c:v>18.170000000000002</c:v>
                </c:pt>
                <c:pt idx="607">
                  <c:v>35.58</c:v>
                </c:pt>
                <c:pt idx="608">
                  <c:v>44.61</c:v>
                </c:pt>
                <c:pt idx="609">
                  <c:v>40.75</c:v>
                </c:pt>
                <c:pt idx="610">
                  <c:v>8.7100000000000009</c:v>
                </c:pt>
                <c:pt idx="611">
                  <c:v>24.25</c:v>
                </c:pt>
                <c:pt idx="612">
                  <c:v>49.18</c:v>
                </c:pt>
                <c:pt idx="613">
                  <c:v>27.39</c:v>
                </c:pt>
                <c:pt idx="614">
                  <c:v>12.91</c:v>
                </c:pt>
                <c:pt idx="615">
                  <c:v>41.31</c:v>
                </c:pt>
                <c:pt idx="616">
                  <c:v>6.04</c:v>
                </c:pt>
                <c:pt idx="617">
                  <c:v>28.27</c:v>
                </c:pt>
                <c:pt idx="618">
                  <c:v>37.770000000000003</c:v>
                </c:pt>
                <c:pt idx="619">
                  <c:v>12.39</c:v>
                </c:pt>
                <c:pt idx="620">
                  <c:v>7.39</c:v>
                </c:pt>
                <c:pt idx="621">
                  <c:v>30.78</c:v>
                </c:pt>
                <c:pt idx="622">
                  <c:v>5.98</c:v>
                </c:pt>
                <c:pt idx="623">
                  <c:v>41.64</c:v>
                </c:pt>
                <c:pt idx="624">
                  <c:v>48.71</c:v>
                </c:pt>
                <c:pt idx="625">
                  <c:v>41.08</c:v>
                </c:pt>
                <c:pt idx="626">
                  <c:v>14.61</c:v>
                </c:pt>
                <c:pt idx="627">
                  <c:v>39.01</c:v>
                </c:pt>
                <c:pt idx="628">
                  <c:v>17.2</c:v>
                </c:pt>
                <c:pt idx="629">
                  <c:v>8.67</c:v>
                </c:pt>
                <c:pt idx="630">
                  <c:v>22.84</c:v>
                </c:pt>
                <c:pt idx="631">
                  <c:v>31.91</c:v>
                </c:pt>
                <c:pt idx="632">
                  <c:v>44.37</c:v>
                </c:pt>
                <c:pt idx="633">
                  <c:v>10.08</c:v>
                </c:pt>
                <c:pt idx="634">
                  <c:v>20.38</c:v>
                </c:pt>
                <c:pt idx="635">
                  <c:v>24.41</c:v>
                </c:pt>
                <c:pt idx="636">
                  <c:v>43.21</c:v>
                </c:pt>
                <c:pt idx="637">
                  <c:v>44.61</c:v>
                </c:pt>
                <c:pt idx="638">
                  <c:v>16.82</c:v>
                </c:pt>
                <c:pt idx="639">
                  <c:v>33.94</c:v>
                </c:pt>
                <c:pt idx="640">
                  <c:v>25.35</c:v>
                </c:pt>
                <c:pt idx="641">
                  <c:v>23.69</c:v>
                </c:pt>
                <c:pt idx="642">
                  <c:v>9.86</c:v>
                </c:pt>
                <c:pt idx="643">
                  <c:v>45.63</c:v>
                </c:pt>
                <c:pt idx="644">
                  <c:v>5.48</c:v>
                </c:pt>
                <c:pt idx="645">
                  <c:v>10.99</c:v>
                </c:pt>
                <c:pt idx="646">
                  <c:v>49.91</c:v>
                </c:pt>
                <c:pt idx="647">
                  <c:v>48.92</c:v>
                </c:pt>
                <c:pt idx="648">
                  <c:v>39.979999999999997</c:v>
                </c:pt>
                <c:pt idx="649">
                  <c:v>25.2</c:v>
                </c:pt>
                <c:pt idx="650">
                  <c:v>6.47</c:v>
                </c:pt>
                <c:pt idx="651">
                  <c:v>11.38</c:v>
                </c:pt>
                <c:pt idx="652">
                  <c:v>8.93</c:v>
                </c:pt>
                <c:pt idx="653">
                  <c:v>8.6199999999999992</c:v>
                </c:pt>
                <c:pt idx="654">
                  <c:v>11.49</c:v>
                </c:pt>
                <c:pt idx="655">
                  <c:v>30.25</c:v>
                </c:pt>
                <c:pt idx="656">
                  <c:v>42.38</c:v>
                </c:pt>
                <c:pt idx="657">
                  <c:v>40.35</c:v>
                </c:pt>
                <c:pt idx="658">
                  <c:v>21.88</c:v>
                </c:pt>
                <c:pt idx="659">
                  <c:v>47.95</c:v>
                </c:pt>
                <c:pt idx="660">
                  <c:v>38.590000000000003</c:v>
                </c:pt>
                <c:pt idx="661">
                  <c:v>16.64</c:v>
                </c:pt>
                <c:pt idx="662">
                  <c:v>40.78</c:v>
                </c:pt>
                <c:pt idx="663">
                  <c:v>5.77</c:v>
                </c:pt>
                <c:pt idx="664">
                  <c:v>46.93</c:v>
                </c:pt>
                <c:pt idx="665">
                  <c:v>16.43</c:v>
                </c:pt>
                <c:pt idx="666">
                  <c:v>9.31</c:v>
                </c:pt>
                <c:pt idx="667">
                  <c:v>44.48</c:v>
                </c:pt>
                <c:pt idx="668">
                  <c:v>23.91</c:v>
                </c:pt>
                <c:pt idx="669">
                  <c:v>47</c:v>
                </c:pt>
                <c:pt idx="670">
                  <c:v>23.74</c:v>
                </c:pt>
                <c:pt idx="671">
                  <c:v>9.9499999999999993</c:v>
                </c:pt>
                <c:pt idx="672">
                  <c:v>21.06</c:v>
                </c:pt>
                <c:pt idx="673">
                  <c:v>24.48</c:v>
                </c:pt>
                <c:pt idx="674">
                  <c:v>33.4</c:v>
                </c:pt>
                <c:pt idx="675">
                  <c:v>47.77</c:v>
                </c:pt>
                <c:pt idx="676">
                  <c:v>17.43</c:v>
                </c:pt>
                <c:pt idx="677">
                  <c:v>12.35</c:v>
                </c:pt>
                <c:pt idx="678">
                  <c:v>42.68</c:v>
                </c:pt>
                <c:pt idx="679">
                  <c:v>33.159999999999997</c:v>
                </c:pt>
                <c:pt idx="680">
                  <c:v>43.47</c:v>
                </c:pt>
                <c:pt idx="681">
                  <c:v>9.8800000000000008</c:v>
                </c:pt>
                <c:pt idx="682">
                  <c:v>43.4</c:v>
                </c:pt>
                <c:pt idx="683">
                  <c:v>13.86</c:v>
                </c:pt>
                <c:pt idx="684">
                  <c:v>23.3</c:v>
                </c:pt>
                <c:pt idx="685">
                  <c:v>27</c:v>
                </c:pt>
                <c:pt idx="686">
                  <c:v>42.63</c:v>
                </c:pt>
                <c:pt idx="687">
                  <c:v>46.65</c:v>
                </c:pt>
                <c:pt idx="688">
                  <c:v>26.74</c:v>
                </c:pt>
                <c:pt idx="689">
                  <c:v>19.89</c:v>
                </c:pt>
                <c:pt idx="690">
                  <c:v>48.9</c:v>
                </c:pt>
                <c:pt idx="691">
                  <c:v>49.67</c:v>
                </c:pt>
                <c:pt idx="692">
                  <c:v>17.899999999999999</c:v>
                </c:pt>
                <c:pt idx="693">
                  <c:v>30.58</c:v>
                </c:pt>
                <c:pt idx="694">
                  <c:v>44.91</c:v>
                </c:pt>
                <c:pt idx="695">
                  <c:v>18.920000000000002</c:v>
                </c:pt>
                <c:pt idx="696">
                  <c:v>34.26</c:v>
                </c:pt>
                <c:pt idx="697">
                  <c:v>24.68</c:v>
                </c:pt>
                <c:pt idx="698">
                  <c:v>31.28</c:v>
                </c:pt>
                <c:pt idx="699">
                  <c:v>14.9</c:v>
                </c:pt>
                <c:pt idx="700">
                  <c:v>27.05</c:v>
                </c:pt>
                <c:pt idx="701">
                  <c:v>21.23</c:v>
                </c:pt>
                <c:pt idx="702">
                  <c:v>12.23</c:v>
                </c:pt>
                <c:pt idx="703">
                  <c:v>40.18</c:v>
                </c:pt>
                <c:pt idx="704">
                  <c:v>5.55</c:v>
                </c:pt>
                <c:pt idx="705">
                  <c:v>16.98</c:v>
                </c:pt>
                <c:pt idx="706">
                  <c:v>28.96</c:v>
                </c:pt>
                <c:pt idx="707">
                  <c:v>46.16</c:v>
                </c:pt>
                <c:pt idx="708">
                  <c:v>39.25</c:v>
                </c:pt>
                <c:pt idx="709">
                  <c:v>26.97</c:v>
                </c:pt>
                <c:pt idx="710">
                  <c:v>25.24</c:v>
                </c:pt>
                <c:pt idx="711">
                  <c:v>41.67</c:v>
                </c:pt>
                <c:pt idx="712">
                  <c:v>22.08</c:v>
                </c:pt>
                <c:pt idx="713">
                  <c:v>37.840000000000003</c:v>
                </c:pt>
                <c:pt idx="714">
                  <c:v>9.0500000000000007</c:v>
                </c:pt>
                <c:pt idx="715">
                  <c:v>18.100000000000001</c:v>
                </c:pt>
                <c:pt idx="716">
                  <c:v>13.24</c:v>
                </c:pt>
                <c:pt idx="717">
                  <c:v>6.11</c:v>
                </c:pt>
                <c:pt idx="718">
                  <c:v>48.48</c:v>
                </c:pt>
                <c:pt idx="719">
                  <c:v>7.76</c:v>
                </c:pt>
                <c:pt idx="720">
                  <c:v>30.3</c:v>
                </c:pt>
                <c:pt idx="721">
                  <c:v>18.72</c:v>
                </c:pt>
                <c:pt idx="722">
                  <c:v>36.869999999999997</c:v>
                </c:pt>
                <c:pt idx="723">
                  <c:v>29.31</c:v>
                </c:pt>
                <c:pt idx="724">
                  <c:v>48.73</c:v>
                </c:pt>
                <c:pt idx="725">
                  <c:v>47.14</c:v>
                </c:pt>
                <c:pt idx="726">
                  <c:v>41.39</c:v>
                </c:pt>
                <c:pt idx="727">
                  <c:v>27.1</c:v>
                </c:pt>
                <c:pt idx="728">
                  <c:v>22.73</c:v>
                </c:pt>
                <c:pt idx="729">
                  <c:v>29.06</c:v>
                </c:pt>
                <c:pt idx="730">
                  <c:v>19.91</c:v>
                </c:pt>
                <c:pt idx="731">
                  <c:v>32.659999999999997</c:v>
                </c:pt>
                <c:pt idx="732">
                  <c:v>19.18</c:v>
                </c:pt>
                <c:pt idx="733">
                  <c:v>25.81</c:v>
                </c:pt>
                <c:pt idx="734">
                  <c:v>31.3</c:v>
                </c:pt>
                <c:pt idx="735">
                  <c:v>46.37</c:v>
                </c:pt>
                <c:pt idx="736">
                  <c:v>24.34</c:v>
                </c:pt>
                <c:pt idx="737">
                  <c:v>35.69</c:v>
                </c:pt>
                <c:pt idx="738">
                  <c:v>25.96</c:v>
                </c:pt>
                <c:pt idx="739">
                  <c:v>47.33</c:v>
                </c:pt>
                <c:pt idx="740">
                  <c:v>42.1</c:v>
                </c:pt>
                <c:pt idx="741">
                  <c:v>44.42</c:v>
                </c:pt>
                <c:pt idx="742">
                  <c:v>23.57</c:v>
                </c:pt>
                <c:pt idx="743">
                  <c:v>26.47</c:v>
                </c:pt>
                <c:pt idx="744">
                  <c:v>17.399999999999999</c:v>
                </c:pt>
                <c:pt idx="745">
                  <c:v>21.36</c:v>
                </c:pt>
                <c:pt idx="746">
                  <c:v>35.369999999999997</c:v>
                </c:pt>
                <c:pt idx="747">
                  <c:v>42.87</c:v>
                </c:pt>
                <c:pt idx="748">
                  <c:v>22.11</c:v>
                </c:pt>
                <c:pt idx="749">
                  <c:v>17.190000000000001</c:v>
                </c:pt>
                <c:pt idx="750">
                  <c:v>31.95</c:v>
                </c:pt>
                <c:pt idx="751">
                  <c:v>49.49</c:v>
                </c:pt>
                <c:pt idx="752">
                  <c:v>17.46</c:v>
                </c:pt>
                <c:pt idx="753">
                  <c:v>46.33</c:v>
                </c:pt>
                <c:pt idx="754">
                  <c:v>28.77</c:v>
                </c:pt>
                <c:pt idx="755">
                  <c:v>14.58</c:v>
                </c:pt>
                <c:pt idx="756">
                  <c:v>11.16</c:v>
                </c:pt>
                <c:pt idx="757">
                  <c:v>26.35</c:v>
                </c:pt>
                <c:pt idx="758">
                  <c:v>16.100000000000001</c:v>
                </c:pt>
                <c:pt idx="759">
                  <c:v>5.85</c:v>
                </c:pt>
                <c:pt idx="760">
                  <c:v>29.9</c:v>
                </c:pt>
                <c:pt idx="761">
                  <c:v>14.39</c:v>
                </c:pt>
                <c:pt idx="762">
                  <c:v>38.58</c:v>
                </c:pt>
                <c:pt idx="763">
                  <c:v>41.83</c:v>
                </c:pt>
                <c:pt idx="764">
                  <c:v>44.04</c:v>
                </c:pt>
                <c:pt idx="765">
                  <c:v>36.72</c:v>
                </c:pt>
                <c:pt idx="766">
                  <c:v>25.27</c:v>
                </c:pt>
                <c:pt idx="767">
                  <c:v>33.67</c:v>
                </c:pt>
                <c:pt idx="768">
                  <c:v>24.3</c:v>
                </c:pt>
                <c:pt idx="769">
                  <c:v>35.119999999999997</c:v>
                </c:pt>
                <c:pt idx="770">
                  <c:v>11.99</c:v>
                </c:pt>
                <c:pt idx="771">
                  <c:v>43.2</c:v>
                </c:pt>
                <c:pt idx="772">
                  <c:v>14.43</c:v>
                </c:pt>
                <c:pt idx="773">
                  <c:v>38.479999999999997</c:v>
                </c:pt>
                <c:pt idx="774">
                  <c:v>49.93</c:v>
                </c:pt>
                <c:pt idx="775">
                  <c:v>14</c:v>
                </c:pt>
                <c:pt idx="776">
                  <c:v>7.59</c:v>
                </c:pt>
                <c:pt idx="777">
                  <c:v>11.44</c:v>
                </c:pt>
                <c:pt idx="778">
                  <c:v>21.64</c:v>
                </c:pt>
                <c:pt idx="779">
                  <c:v>21.31</c:v>
                </c:pt>
                <c:pt idx="780">
                  <c:v>41.69</c:v>
                </c:pt>
                <c:pt idx="781">
                  <c:v>41.42</c:v>
                </c:pt>
                <c:pt idx="782">
                  <c:v>35.51</c:v>
                </c:pt>
                <c:pt idx="783">
                  <c:v>44.72</c:v>
                </c:pt>
                <c:pt idx="784">
                  <c:v>26.86</c:v>
                </c:pt>
                <c:pt idx="785">
                  <c:v>30.12</c:v>
                </c:pt>
                <c:pt idx="786">
                  <c:v>18.2</c:v>
                </c:pt>
                <c:pt idx="787">
                  <c:v>35.82</c:v>
                </c:pt>
                <c:pt idx="788">
                  <c:v>41.89</c:v>
                </c:pt>
                <c:pt idx="789">
                  <c:v>28.11</c:v>
                </c:pt>
                <c:pt idx="790">
                  <c:v>37.840000000000003</c:v>
                </c:pt>
                <c:pt idx="791">
                  <c:v>32.520000000000003</c:v>
                </c:pt>
                <c:pt idx="792">
                  <c:v>22.96</c:v>
                </c:pt>
                <c:pt idx="793">
                  <c:v>12.7</c:v>
                </c:pt>
                <c:pt idx="794">
                  <c:v>45.41</c:v>
                </c:pt>
                <c:pt idx="795">
                  <c:v>7.06</c:v>
                </c:pt>
                <c:pt idx="796">
                  <c:v>25.39</c:v>
                </c:pt>
                <c:pt idx="797">
                  <c:v>6.45</c:v>
                </c:pt>
                <c:pt idx="798">
                  <c:v>6.31</c:v>
                </c:pt>
                <c:pt idx="799">
                  <c:v>35.49</c:v>
                </c:pt>
                <c:pt idx="800">
                  <c:v>14.31</c:v>
                </c:pt>
                <c:pt idx="801">
                  <c:v>43.7</c:v>
                </c:pt>
                <c:pt idx="802">
                  <c:v>12.64</c:v>
                </c:pt>
                <c:pt idx="803">
                  <c:v>41.11</c:v>
                </c:pt>
                <c:pt idx="804">
                  <c:v>18.47</c:v>
                </c:pt>
                <c:pt idx="805">
                  <c:v>38.630000000000003</c:v>
                </c:pt>
                <c:pt idx="806">
                  <c:v>29.96</c:v>
                </c:pt>
                <c:pt idx="807">
                  <c:v>37.53</c:v>
                </c:pt>
                <c:pt idx="808">
                  <c:v>44.26</c:v>
                </c:pt>
                <c:pt idx="809">
                  <c:v>8.2799999999999994</c:v>
                </c:pt>
                <c:pt idx="810">
                  <c:v>24.4</c:v>
                </c:pt>
                <c:pt idx="811">
                  <c:v>16.62</c:v>
                </c:pt>
                <c:pt idx="812">
                  <c:v>29.64</c:v>
                </c:pt>
                <c:pt idx="813">
                  <c:v>26.12</c:v>
                </c:pt>
                <c:pt idx="814">
                  <c:v>23.29</c:v>
                </c:pt>
                <c:pt idx="815">
                  <c:v>19.170000000000002</c:v>
                </c:pt>
                <c:pt idx="816">
                  <c:v>21.15</c:v>
                </c:pt>
                <c:pt idx="817">
                  <c:v>45.81</c:v>
                </c:pt>
                <c:pt idx="818">
                  <c:v>21.99</c:v>
                </c:pt>
                <c:pt idx="819">
                  <c:v>33.15</c:v>
                </c:pt>
                <c:pt idx="820">
                  <c:v>5.16</c:v>
                </c:pt>
                <c:pt idx="821">
                  <c:v>13.16</c:v>
                </c:pt>
                <c:pt idx="822">
                  <c:v>23.43</c:v>
                </c:pt>
                <c:pt idx="823">
                  <c:v>47.16</c:v>
                </c:pt>
                <c:pt idx="824">
                  <c:v>41.24</c:v>
                </c:pt>
                <c:pt idx="825">
                  <c:v>27.53</c:v>
                </c:pt>
                <c:pt idx="826">
                  <c:v>41.56</c:v>
                </c:pt>
                <c:pt idx="827">
                  <c:v>30.73</c:v>
                </c:pt>
                <c:pt idx="828">
                  <c:v>16.82</c:v>
                </c:pt>
                <c:pt idx="829">
                  <c:v>29.22</c:v>
                </c:pt>
                <c:pt idx="830">
                  <c:v>31.31</c:v>
                </c:pt>
                <c:pt idx="831">
                  <c:v>37.369999999999997</c:v>
                </c:pt>
                <c:pt idx="832">
                  <c:v>21.22</c:v>
                </c:pt>
                <c:pt idx="833">
                  <c:v>21.04</c:v>
                </c:pt>
                <c:pt idx="834">
                  <c:v>36.9</c:v>
                </c:pt>
                <c:pt idx="835">
                  <c:v>22.34</c:v>
                </c:pt>
                <c:pt idx="836">
                  <c:v>20.64</c:v>
                </c:pt>
                <c:pt idx="837">
                  <c:v>49.08</c:v>
                </c:pt>
                <c:pt idx="838">
                  <c:v>15.3</c:v>
                </c:pt>
                <c:pt idx="839">
                  <c:v>20.83</c:v>
                </c:pt>
                <c:pt idx="840">
                  <c:v>19.38</c:v>
                </c:pt>
                <c:pt idx="841">
                  <c:v>43.56</c:v>
                </c:pt>
                <c:pt idx="842">
                  <c:v>25.49</c:v>
                </c:pt>
                <c:pt idx="843">
                  <c:v>23.4</c:v>
                </c:pt>
                <c:pt idx="844">
                  <c:v>19.5</c:v>
                </c:pt>
                <c:pt idx="845">
                  <c:v>26.04</c:v>
                </c:pt>
                <c:pt idx="846">
                  <c:v>17.010000000000002</c:v>
                </c:pt>
                <c:pt idx="847">
                  <c:v>32.94</c:v>
                </c:pt>
                <c:pt idx="848">
                  <c:v>45.76</c:v>
                </c:pt>
                <c:pt idx="849">
                  <c:v>37.49</c:v>
                </c:pt>
                <c:pt idx="850">
                  <c:v>44.95</c:v>
                </c:pt>
                <c:pt idx="851">
                  <c:v>20.37</c:v>
                </c:pt>
                <c:pt idx="852">
                  <c:v>13.54</c:v>
                </c:pt>
                <c:pt idx="853">
                  <c:v>30.67</c:v>
                </c:pt>
                <c:pt idx="854">
                  <c:v>11.35</c:v>
                </c:pt>
                <c:pt idx="855">
                  <c:v>44.99</c:v>
                </c:pt>
                <c:pt idx="856">
                  <c:v>33.79</c:v>
                </c:pt>
                <c:pt idx="857">
                  <c:v>26.56</c:v>
                </c:pt>
                <c:pt idx="858">
                  <c:v>42.3</c:v>
                </c:pt>
                <c:pt idx="859">
                  <c:v>33.71</c:v>
                </c:pt>
                <c:pt idx="860">
                  <c:v>5.59</c:v>
                </c:pt>
                <c:pt idx="861">
                  <c:v>19.55</c:v>
                </c:pt>
                <c:pt idx="862">
                  <c:v>13.42</c:v>
                </c:pt>
                <c:pt idx="863">
                  <c:v>19.809999999999999</c:v>
                </c:pt>
                <c:pt idx="864">
                  <c:v>25.36</c:v>
                </c:pt>
                <c:pt idx="865">
                  <c:v>24.85</c:v>
                </c:pt>
                <c:pt idx="866">
                  <c:v>45.32</c:v>
                </c:pt>
                <c:pt idx="867">
                  <c:v>45.83</c:v>
                </c:pt>
                <c:pt idx="868">
                  <c:v>46.73</c:v>
                </c:pt>
                <c:pt idx="869">
                  <c:v>35.840000000000003</c:v>
                </c:pt>
                <c:pt idx="870">
                  <c:v>44.76</c:v>
                </c:pt>
                <c:pt idx="871">
                  <c:v>25.06</c:v>
                </c:pt>
                <c:pt idx="872">
                  <c:v>43.18</c:v>
                </c:pt>
                <c:pt idx="873">
                  <c:v>33.44</c:v>
                </c:pt>
                <c:pt idx="874">
                  <c:v>28.97</c:v>
                </c:pt>
                <c:pt idx="875">
                  <c:v>28.63</c:v>
                </c:pt>
                <c:pt idx="876">
                  <c:v>27.26</c:v>
                </c:pt>
                <c:pt idx="877">
                  <c:v>28.51</c:v>
                </c:pt>
                <c:pt idx="878">
                  <c:v>13.09</c:v>
                </c:pt>
                <c:pt idx="879">
                  <c:v>36.83</c:v>
                </c:pt>
                <c:pt idx="880">
                  <c:v>45.85</c:v>
                </c:pt>
                <c:pt idx="881">
                  <c:v>5.05</c:v>
                </c:pt>
                <c:pt idx="882">
                  <c:v>12.28</c:v>
                </c:pt>
                <c:pt idx="883">
                  <c:v>16.059999999999999</c:v>
                </c:pt>
                <c:pt idx="884">
                  <c:v>28.14</c:v>
                </c:pt>
                <c:pt idx="885">
                  <c:v>14.85</c:v>
                </c:pt>
                <c:pt idx="886">
                  <c:v>16.78</c:v>
                </c:pt>
                <c:pt idx="887">
                  <c:v>14.76</c:v>
                </c:pt>
                <c:pt idx="888">
                  <c:v>9.61</c:v>
                </c:pt>
                <c:pt idx="889">
                  <c:v>26.92</c:v>
                </c:pt>
                <c:pt idx="890">
                  <c:v>26.35</c:v>
                </c:pt>
                <c:pt idx="891">
                  <c:v>45.34</c:v>
                </c:pt>
                <c:pt idx="892">
                  <c:v>30.19</c:v>
                </c:pt>
                <c:pt idx="893">
                  <c:v>9.93</c:v>
                </c:pt>
                <c:pt idx="894">
                  <c:v>16.59</c:v>
                </c:pt>
                <c:pt idx="895">
                  <c:v>25.11</c:v>
                </c:pt>
                <c:pt idx="896">
                  <c:v>48.93</c:v>
                </c:pt>
                <c:pt idx="897">
                  <c:v>21.03</c:v>
                </c:pt>
                <c:pt idx="898">
                  <c:v>16.04</c:v>
                </c:pt>
                <c:pt idx="899">
                  <c:v>24.57</c:v>
                </c:pt>
                <c:pt idx="900">
                  <c:v>32.57</c:v>
                </c:pt>
                <c:pt idx="901">
                  <c:v>28.69</c:v>
                </c:pt>
                <c:pt idx="902">
                  <c:v>46.67</c:v>
                </c:pt>
                <c:pt idx="903">
                  <c:v>47.75</c:v>
                </c:pt>
                <c:pt idx="904">
                  <c:v>21.21</c:v>
                </c:pt>
                <c:pt idx="905">
                  <c:v>5.58</c:v>
                </c:pt>
                <c:pt idx="906">
                  <c:v>31.2</c:v>
                </c:pt>
                <c:pt idx="907">
                  <c:v>14.35</c:v>
                </c:pt>
                <c:pt idx="908">
                  <c:v>44.77</c:v>
                </c:pt>
                <c:pt idx="909">
                  <c:v>30.57</c:v>
                </c:pt>
                <c:pt idx="910">
                  <c:v>22.16</c:v>
                </c:pt>
                <c:pt idx="911">
                  <c:v>25.55</c:v>
                </c:pt>
                <c:pt idx="912">
                  <c:v>15.13</c:v>
                </c:pt>
                <c:pt idx="913">
                  <c:v>34.6</c:v>
                </c:pt>
                <c:pt idx="914">
                  <c:v>42.18</c:v>
                </c:pt>
                <c:pt idx="915">
                  <c:v>16.399999999999999</c:v>
                </c:pt>
                <c:pt idx="916">
                  <c:v>12.05</c:v>
                </c:pt>
                <c:pt idx="917">
                  <c:v>39.159999999999997</c:v>
                </c:pt>
                <c:pt idx="918">
                  <c:v>48.73</c:v>
                </c:pt>
                <c:pt idx="919">
                  <c:v>8.11</c:v>
                </c:pt>
                <c:pt idx="920">
                  <c:v>48.27</c:v>
                </c:pt>
                <c:pt idx="921">
                  <c:v>12.22</c:v>
                </c:pt>
                <c:pt idx="922">
                  <c:v>30.86</c:v>
                </c:pt>
                <c:pt idx="923">
                  <c:v>12.04</c:v>
                </c:pt>
                <c:pt idx="924">
                  <c:v>30.29</c:v>
                </c:pt>
                <c:pt idx="925">
                  <c:v>26.43</c:v>
                </c:pt>
                <c:pt idx="926">
                  <c:v>46.98</c:v>
                </c:pt>
                <c:pt idx="927">
                  <c:v>10.36</c:v>
                </c:pt>
                <c:pt idx="928">
                  <c:v>27.66</c:v>
                </c:pt>
                <c:pt idx="929">
                  <c:v>11.57</c:v>
                </c:pt>
                <c:pt idx="930">
                  <c:v>32.94</c:v>
                </c:pt>
                <c:pt idx="931">
                  <c:v>30.33</c:v>
                </c:pt>
                <c:pt idx="932">
                  <c:v>48.13</c:v>
                </c:pt>
                <c:pt idx="933">
                  <c:v>19.850000000000001</c:v>
                </c:pt>
                <c:pt idx="934">
                  <c:v>46.12</c:v>
                </c:pt>
                <c:pt idx="935">
                  <c:v>35.770000000000003</c:v>
                </c:pt>
                <c:pt idx="936">
                  <c:v>43.69</c:v>
                </c:pt>
                <c:pt idx="937">
                  <c:v>17.850000000000001</c:v>
                </c:pt>
                <c:pt idx="938">
                  <c:v>26.81</c:v>
                </c:pt>
                <c:pt idx="939">
                  <c:v>19.72</c:v>
                </c:pt>
                <c:pt idx="940">
                  <c:v>15.38</c:v>
                </c:pt>
                <c:pt idx="941">
                  <c:v>32.67</c:v>
                </c:pt>
                <c:pt idx="942">
                  <c:v>35.729999999999997</c:v>
                </c:pt>
                <c:pt idx="943">
                  <c:v>9.89</c:v>
                </c:pt>
                <c:pt idx="944">
                  <c:v>34.36</c:v>
                </c:pt>
                <c:pt idx="945">
                  <c:v>26.12</c:v>
                </c:pt>
                <c:pt idx="946">
                  <c:v>26.03</c:v>
                </c:pt>
                <c:pt idx="947">
                  <c:v>45.35</c:v>
                </c:pt>
                <c:pt idx="948">
                  <c:v>36.549999999999997</c:v>
                </c:pt>
                <c:pt idx="949">
                  <c:v>28.35</c:v>
                </c:pt>
                <c:pt idx="950">
                  <c:v>30.27</c:v>
                </c:pt>
                <c:pt idx="951">
                  <c:v>35.92</c:v>
                </c:pt>
                <c:pt idx="952">
                  <c:v>38.29</c:v>
                </c:pt>
                <c:pt idx="953">
                  <c:v>49.98</c:v>
                </c:pt>
                <c:pt idx="954">
                  <c:v>22.57</c:v>
                </c:pt>
                <c:pt idx="955">
                  <c:v>5.38</c:v>
                </c:pt>
                <c:pt idx="956">
                  <c:v>6.15</c:v>
                </c:pt>
                <c:pt idx="957">
                  <c:v>17.940000000000001</c:v>
                </c:pt>
                <c:pt idx="958">
                  <c:v>17.09</c:v>
                </c:pt>
                <c:pt idx="959">
                  <c:v>45.22</c:v>
                </c:pt>
                <c:pt idx="960">
                  <c:v>31.26</c:v>
                </c:pt>
                <c:pt idx="961">
                  <c:v>11.02</c:v>
                </c:pt>
                <c:pt idx="962">
                  <c:v>22.04</c:v>
                </c:pt>
                <c:pt idx="963">
                  <c:v>7.52</c:v>
                </c:pt>
                <c:pt idx="964">
                  <c:v>47.01</c:v>
                </c:pt>
                <c:pt idx="965">
                  <c:v>6.8</c:v>
                </c:pt>
                <c:pt idx="966">
                  <c:v>13.35</c:v>
                </c:pt>
                <c:pt idx="967">
                  <c:v>22.83</c:v>
                </c:pt>
                <c:pt idx="968">
                  <c:v>46.69</c:v>
                </c:pt>
                <c:pt idx="969">
                  <c:v>6.91</c:v>
                </c:pt>
                <c:pt idx="970">
                  <c:v>19.2</c:v>
                </c:pt>
                <c:pt idx="971">
                  <c:v>15.52</c:v>
                </c:pt>
                <c:pt idx="972">
                  <c:v>47.43</c:v>
                </c:pt>
                <c:pt idx="973">
                  <c:v>34.75</c:v>
                </c:pt>
                <c:pt idx="974">
                  <c:v>6.13</c:v>
                </c:pt>
                <c:pt idx="975">
                  <c:v>33.979999999999997</c:v>
                </c:pt>
                <c:pt idx="976">
                  <c:v>29.28</c:v>
                </c:pt>
                <c:pt idx="977">
                  <c:v>24.77</c:v>
                </c:pt>
                <c:pt idx="978">
                  <c:v>40.26</c:v>
                </c:pt>
                <c:pt idx="979">
                  <c:v>28.98</c:v>
                </c:pt>
                <c:pt idx="980">
                  <c:v>15.6</c:v>
                </c:pt>
                <c:pt idx="981">
                  <c:v>46.47</c:v>
                </c:pt>
                <c:pt idx="982">
                  <c:v>48.84</c:v>
                </c:pt>
                <c:pt idx="983">
                  <c:v>36.56</c:v>
                </c:pt>
                <c:pt idx="984">
                  <c:v>43.84</c:v>
                </c:pt>
                <c:pt idx="985">
                  <c:v>36.729999999999997</c:v>
                </c:pt>
                <c:pt idx="986">
                  <c:v>14.67</c:v>
                </c:pt>
                <c:pt idx="987">
                  <c:v>11.11</c:v>
                </c:pt>
                <c:pt idx="988">
                  <c:v>42.72</c:v>
                </c:pt>
                <c:pt idx="989">
                  <c:v>49.64</c:v>
                </c:pt>
                <c:pt idx="990">
                  <c:v>7.33</c:v>
                </c:pt>
                <c:pt idx="991">
                  <c:v>48.42</c:v>
                </c:pt>
                <c:pt idx="992">
                  <c:v>36.590000000000003</c:v>
                </c:pt>
                <c:pt idx="993">
                  <c:v>28.5</c:v>
                </c:pt>
                <c:pt idx="994">
                  <c:v>30.78</c:v>
                </c:pt>
                <c:pt idx="995">
                  <c:v>18.2</c:v>
                </c:pt>
                <c:pt idx="996">
                  <c:v>25.96</c:v>
                </c:pt>
                <c:pt idx="997">
                  <c:v>44.77</c:v>
                </c:pt>
                <c:pt idx="998">
                  <c:v>13.45</c:v>
                </c:pt>
                <c:pt idx="999">
                  <c:v>18.21</c:v>
                </c:pt>
                <c:pt idx="1000">
                  <c:v>29.06</c:v>
                </c:pt>
                <c:pt idx="1001">
                  <c:v>34.159999999999997</c:v>
                </c:pt>
                <c:pt idx="1002">
                  <c:v>17.739999999999998</c:v>
                </c:pt>
                <c:pt idx="1003">
                  <c:v>5.19</c:v>
                </c:pt>
                <c:pt idx="1004">
                  <c:v>44.91</c:v>
                </c:pt>
                <c:pt idx="1005">
                  <c:v>20.5</c:v>
                </c:pt>
                <c:pt idx="1006">
                  <c:v>25.94</c:v>
                </c:pt>
                <c:pt idx="1007">
                  <c:v>6.91</c:v>
                </c:pt>
                <c:pt idx="1008">
                  <c:v>30.71</c:v>
                </c:pt>
                <c:pt idx="1009">
                  <c:v>26.87</c:v>
                </c:pt>
                <c:pt idx="1010">
                  <c:v>36.729999999999997</c:v>
                </c:pt>
                <c:pt idx="1011">
                  <c:v>31.95</c:v>
                </c:pt>
                <c:pt idx="1012">
                  <c:v>46.76</c:v>
                </c:pt>
                <c:pt idx="1013">
                  <c:v>26.4</c:v>
                </c:pt>
                <c:pt idx="1014">
                  <c:v>33.6</c:v>
                </c:pt>
                <c:pt idx="1015">
                  <c:v>20.23</c:v>
                </c:pt>
                <c:pt idx="1016">
                  <c:v>28.09</c:v>
                </c:pt>
                <c:pt idx="1017">
                  <c:v>43.32</c:v>
                </c:pt>
                <c:pt idx="1018">
                  <c:v>14.94</c:v>
                </c:pt>
                <c:pt idx="1019">
                  <c:v>18.91</c:v>
                </c:pt>
                <c:pt idx="1020">
                  <c:v>13.82</c:v>
                </c:pt>
                <c:pt idx="1021">
                  <c:v>33.200000000000003</c:v>
                </c:pt>
                <c:pt idx="1022">
                  <c:v>17.760000000000002</c:v>
                </c:pt>
                <c:pt idx="1023">
                  <c:v>13.09</c:v>
                </c:pt>
                <c:pt idx="1024">
                  <c:v>22.2</c:v>
                </c:pt>
                <c:pt idx="1025">
                  <c:v>38.46</c:v>
                </c:pt>
                <c:pt idx="1026">
                  <c:v>30.03</c:v>
                </c:pt>
                <c:pt idx="1027">
                  <c:v>17.36</c:v>
                </c:pt>
                <c:pt idx="1028">
                  <c:v>19.010000000000002</c:v>
                </c:pt>
                <c:pt idx="1029">
                  <c:v>41.66</c:v>
                </c:pt>
                <c:pt idx="1030">
                  <c:v>6.37</c:v>
                </c:pt>
                <c:pt idx="1031">
                  <c:v>48.66</c:v>
                </c:pt>
                <c:pt idx="1032">
                  <c:v>38.979999999999997</c:v>
                </c:pt>
                <c:pt idx="1033">
                  <c:v>39.64</c:v>
                </c:pt>
                <c:pt idx="1034">
                  <c:v>18.16</c:v>
                </c:pt>
                <c:pt idx="1035">
                  <c:v>47.35</c:v>
                </c:pt>
                <c:pt idx="1036">
                  <c:v>5.95</c:v>
                </c:pt>
                <c:pt idx="1037">
                  <c:v>35.6</c:v>
                </c:pt>
                <c:pt idx="1038">
                  <c:v>30.22</c:v>
                </c:pt>
                <c:pt idx="1039">
                  <c:v>30.06</c:v>
                </c:pt>
                <c:pt idx="1040">
                  <c:v>37.42</c:v>
                </c:pt>
                <c:pt idx="1041">
                  <c:v>7.79</c:v>
                </c:pt>
                <c:pt idx="1042">
                  <c:v>12.63</c:v>
                </c:pt>
                <c:pt idx="1043">
                  <c:v>46.45</c:v>
                </c:pt>
                <c:pt idx="1044">
                  <c:v>40.57</c:v>
                </c:pt>
                <c:pt idx="1045">
                  <c:v>44.7</c:v>
                </c:pt>
                <c:pt idx="1046">
                  <c:v>15.78</c:v>
                </c:pt>
                <c:pt idx="1047">
                  <c:v>48.83</c:v>
                </c:pt>
                <c:pt idx="1048">
                  <c:v>20.97</c:v>
                </c:pt>
                <c:pt idx="1049">
                  <c:v>43.74</c:v>
                </c:pt>
                <c:pt idx="1050">
                  <c:v>43.24</c:v>
                </c:pt>
                <c:pt idx="1051">
                  <c:v>47.77</c:v>
                </c:pt>
                <c:pt idx="1052">
                  <c:v>44.76</c:v>
                </c:pt>
                <c:pt idx="1053">
                  <c:v>37.07</c:v>
                </c:pt>
                <c:pt idx="1054">
                  <c:v>34.97</c:v>
                </c:pt>
                <c:pt idx="1055">
                  <c:v>32.86</c:v>
                </c:pt>
                <c:pt idx="1056">
                  <c:v>19.77</c:v>
                </c:pt>
                <c:pt idx="1057">
                  <c:v>45.75</c:v>
                </c:pt>
                <c:pt idx="1058">
                  <c:v>44.49</c:v>
                </c:pt>
                <c:pt idx="1059">
                  <c:v>37.49</c:v>
                </c:pt>
                <c:pt idx="1060">
                  <c:v>28.8</c:v>
                </c:pt>
                <c:pt idx="1061">
                  <c:v>19.489999999999998</c:v>
                </c:pt>
                <c:pt idx="1062">
                  <c:v>9.35</c:v>
                </c:pt>
                <c:pt idx="1063">
                  <c:v>38.6</c:v>
                </c:pt>
                <c:pt idx="1064">
                  <c:v>42.38</c:v>
                </c:pt>
                <c:pt idx="1065">
                  <c:v>32.83</c:v>
                </c:pt>
                <c:pt idx="1066">
                  <c:v>5.21</c:v>
                </c:pt>
                <c:pt idx="1067">
                  <c:v>8.6</c:v>
                </c:pt>
                <c:pt idx="1068">
                  <c:v>23.99</c:v>
                </c:pt>
                <c:pt idx="1069">
                  <c:v>20.059999999999999</c:v>
                </c:pt>
                <c:pt idx="1070">
                  <c:v>44.86</c:v>
                </c:pt>
                <c:pt idx="1071">
                  <c:v>42.59</c:v>
                </c:pt>
                <c:pt idx="1072">
                  <c:v>30.45</c:v>
                </c:pt>
                <c:pt idx="1073">
                  <c:v>48.07</c:v>
                </c:pt>
                <c:pt idx="1074">
                  <c:v>43.22</c:v>
                </c:pt>
                <c:pt idx="1075">
                  <c:v>33.6</c:v>
                </c:pt>
                <c:pt idx="1076">
                  <c:v>26.97</c:v>
                </c:pt>
                <c:pt idx="1077">
                  <c:v>43.02</c:v>
                </c:pt>
                <c:pt idx="1078">
                  <c:v>31.13</c:v>
                </c:pt>
                <c:pt idx="1079">
                  <c:v>29.31</c:v>
                </c:pt>
                <c:pt idx="1080">
                  <c:v>11.21</c:v>
                </c:pt>
                <c:pt idx="1081">
                  <c:v>21.89</c:v>
                </c:pt>
                <c:pt idx="1082">
                  <c:v>32.53</c:v>
                </c:pt>
                <c:pt idx="1083">
                  <c:v>16.98</c:v>
                </c:pt>
                <c:pt idx="1084">
                  <c:v>30.62</c:v>
                </c:pt>
                <c:pt idx="1085">
                  <c:v>14.02</c:v>
                </c:pt>
                <c:pt idx="1086">
                  <c:v>5.84</c:v>
                </c:pt>
                <c:pt idx="1087">
                  <c:v>17.39</c:v>
                </c:pt>
                <c:pt idx="1088">
                  <c:v>31.81</c:v>
                </c:pt>
                <c:pt idx="1089">
                  <c:v>20.02</c:v>
                </c:pt>
                <c:pt idx="1090">
                  <c:v>15.33</c:v>
                </c:pt>
                <c:pt idx="1091">
                  <c:v>10.199999999999999</c:v>
                </c:pt>
                <c:pt idx="1092">
                  <c:v>48.08</c:v>
                </c:pt>
                <c:pt idx="1093">
                  <c:v>34.69</c:v>
                </c:pt>
                <c:pt idx="1094">
                  <c:v>34.44</c:v>
                </c:pt>
                <c:pt idx="1095">
                  <c:v>20.21</c:v>
                </c:pt>
                <c:pt idx="1096">
                  <c:v>5.35</c:v>
                </c:pt>
                <c:pt idx="1097">
                  <c:v>17.43</c:v>
                </c:pt>
                <c:pt idx="1098">
                  <c:v>33.36</c:v>
                </c:pt>
                <c:pt idx="1099">
                  <c:v>30.32</c:v>
                </c:pt>
                <c:pt idx="1100">
                  <c:v>25.05</c:v>
                </c:pt>
                <c:pt idx="1101">
                  <c:v>43.81</c:v>
                </c:pt>
                <c:pt idx="1102">
                  <c:v>49.82</c:v>
                </c:pt>
                <c:pt idx="1103">
                  <c:v>16.079999999999998</c:v>
                </c:pt>
                <c:pt idx="1104">
                  <c:v>47.43</c:v>
                </c:pt>
                <c:pt idx="1105">
                  <c:v>6.85</c:v>
                </c:pt>
                <c:pt idx="1106">
                  <c:v>32.92</c:v>
                </c:pt>
                <c:pt idx="1107">
                  <c:v>49.55</c:v>
                </c:pt>
                <c:pt idx="1108">
                  <c:v>43.72</c:v>
                </c:pt>
                <c:pt idx="1109">
                  <c:v>42.06</c:v>
                </c:pt>
                <c:pt idx="1110">
                  <c:v>28.74</c:v>
                </c:pt>
                <c:pt idx="1111">
                  <c:v>39.26</c:v>
                </c:pt>
                <c:pt idx="1112">
                  <c:v>44.96</c:v>
                </c:pt>
                <c:pt idx="1113">
                  <c:v>20.059999999999999</c:v>
                </c:pt>
                <c:pt idx="1114">
                  <c:v>13.23</c:v>
                </c:pt>
                <c:pt idx="1115">
                  <c:v>37.81</c:v>
                </c:pt>
                <c:pt idx="1116">
                  <c:v>23.31</c:v>
                </c:pt>
                <c:pt idx="1117">
                  <c:v>26.5</c:v>
                </c:pt>
                <c:pt idx="1118">
                  <c:v>7.31</c:v>
                </c:pt>
                <c:pt idx="1119">
                  <c:v>11.45</c:v>
                </c:pt>
                <c:pt idx="1120">
                  <c:v>49.91</c:v>
                </c:pt>
                <c:pt idx="1121">
                  <c:v>40.18</c:v>
                </c:pt>
                <c:pt idx="1122">
                  <c:v>37.909999999999997</c:v>
                </c:pt>
                <c:pt idx="1123">
                  <c:v>8.7799999999999994</c:v>
                </c:pt>
                <c:pt idx="1124">
                  <c:v>39.32</c:v>
                </c:pt>
                <c:pt idx="1125">
                  <c:v>29.95</c:v>
                </c:pt>
                <c:pt idx="1126">
                  <c:v>36.380000000000003</c:v>
                </c:pt>
                <c:pt idx="1127">
                  <c:v>17.14</c:v>
                </c:pt>
                <c:pt idx="1128">
                  <c:v>43.41</c:v>
                </c:pt>
                <c:pt idx="1129">
                  <c:v>18.13</c:v>
                </c:pt>
                <c:pt idx="1130">
                  <c:v>36.229999999999997</c:v>
                </c:pt>
                <c:pt idx="1131">
                  <c:v>38.94</c:v>
                </c:pt>
                <c:pt idx="1132">
                  <c:v>30.78</c:v>
                </c:pt>
                <c:pt idx="1133">
                  <c:v>25.31</c:v>
                </c:pt>
                <c:pt idx="1134">
                  <c:v>30.97</c:v>
                </c:pt>
                <c:pt idx="1135">
                  <c:v>10.56</c:v>
                </c:pt>
                <c:pt idx="1136">
                  <c:v>48.32</c:v>
                </c:pt>
                <c:pt idx="1137">
                  <c:v>30.08</c:v>
                </c:pt>
                <c:pt idx="1138">
                  <c:v>45.61</c:v>
                </c:pt>
                <c:pt idx="1139">
                  <c:v>11.49</c:v>
                </c:pt>
                <c:pt idx="1140">
                  <c:v>12.53</c:v>
                </c:pt>
                <c:pt idx="1141">
                  <c:v>32.22</c:v>
                </c:pt>
                <c:pt idx="1142">
                  <c:v>19.41</c:v>
                </c:pt>
                <c:pt idx="1143">
                  <c:v>7.34</c:v>
                </c:pt>
                <c:pt idx="1144">
                  <c:v>46.21</c:v>
                </c:pt>
                <c:pt idx="1145">
                  <c:v>26.25</c:v>
                </c:pt>
                <c:pt idx="1146">
                  <c:v>39.4</c:v>
                </c:pt>
                <c:pt idx="1147">
                  <c:v>10.77</c:v>
                </c:pt>
                <c:pt idx="1148">
                  <c:v>38.61</c:v>
                </c:pt>
                <c:pt idx="1149">
                  <c:v>30.7</c:v>
                </c:pt>
                <c:pt idx="1150">
                  <c:v>26.04</c:v>
                </c:pt>
                <c:pt idx="1151">
                  <c:v>29.31</c:v>
                </c:pt>
                <c:pt idx="1152">
                  <c:v>30.87</c:v>
                </c:pt>
                <c:pt idx="1153">
                  <c:v>16</c:v>
                </c:pt>
                <c:pt idx="1154">
                  <c:v>31.55</c:v>
                </c:pt>
                <c:pt idx="1155">
                  <c:v>6.28</c:v>
                </c:pt>
                <c:pt idx="1156">
                  <c:v>27.98</c:v>
                </c:pt>
                <c:pt idx="1157">
                  <c:v>26.57</c:v>
                </c:pt>
                <c:pt idx="1158">
                  <c:v>44.97</c:v>
                </c:pt>
                <c:pt idx="1159">
                  <c:v>17.62</c:v>
                </c:pt>
                <c:pt idx="1160">
                  <c:v>29.6</c:v>
                </c:pt>
                <c:pt idx="1161">
                  <c:v>20.12</c:v>
                </c:pt>
                <c:pt idx="1162">
                  <c:v>27.82</c:v>
                </c:pt>
                <c:pt idx="1163">
                  <c:v>48.11</c:v>
                </c:pt>
                <c:pt idx="1164">
                  <c:v>36.35</c:v>
                </c:pt>
                <c:pt idx="1165">
                  <c:v>7.46</c:v>
                </c:pt>
                <c:pt idx="1166">
                  <c:v>47.23</c:v>
                </c:pt>
                <c:pt idx="1167">
                  <c:v>31.43</c:v>
                </c:pt>
                <c:pt idx="1168">
                  <c:v>10.79</c:v>
                </c:pt>
                <c:pt idx="1169">
                  <c:v>48.33</c:v>
                </c:pt>
                <c:pt idx="1170">
                  <c:v>45.97</c:v>
                </c:pt>
                <c:pt idx="1171">
                  <c:v>47.56</c:v>
                </c:pt>
                <c:pt idx="1172">
                  <c:v>10.199999999999999</c:v>
                </c:pt>
                <c:pt idx="1173">
                  <c:v>20.18</c:v>
                </c:pt>
                <c:pt idx="1174">
                  <c:v>45.79</c:v>
                </c:pt>
                <c:pt idx="1175">
                  <c:v>27.43</c:v>
                </c:pt>
                <c:pt idx="1176">
                  <c:v>9.6199999999999992</c:v>
                </c:pt>
                <c:pt idx="1177">
                  <c:v>17.53</c:v>
                </c:pt>
                <c:pt idx="1178">
                  <c:v>14.88</c:v>
                </c:pt>
                <c:pt idx="1179">
                  <c:v>47.84</c:v>
                </c:pt>
                <c:pt idx="1180">
                  <c:v>22.15</c:v>
                </c:pt>
                <c:pt idx="1181">
                  <c:v>32.83</c:v>
                </c:pt>
                <c:pt idx="1182">
                  <c:v>10.19</c:v>
                </c:pt>
                <c:pt idx="1183">
                  <c:v>36.89</c:v>
                </c:pt>
                <c:pt idx="1184">
                  <c:v>7.76</c:v>
                </c:pt>
                <c:pt idx="1185">
                  <c:v>39.89</c:v>
                </c:pt>
                <c:pt idx="1186">
                  <c:v>49.37</c:v>
                </c:pt>
                <c:pt idx="1187">
                  <c:v>41.56</c:v>
                </c:pt>
                <c:pt idx="1188">
                  <c:v>18.010000000000002</c:v>
                </c:pt>
                <c:pt idx="1189">
                  <c:v>32.74</c:v>
                </c:pt>
                <c:pt idx="1190">
                  <c:v>12.97</c:v>
                </c:pt>
                <c:pt idx="1191">
                  <c:v>20.05</c:v>
                </c:pt>
                <c:pt idx="1192">
                  <c:v>20.87</c:v>
                </c:pt>
                <c:pt idx="1193">
                  <c:v>26.66</c:v>
                </c:pt>
                <c:pt idx="1194">
                  <c:v>36.67</c:v>
                </c:pt>
                <c:pt idx="1195">
                  <c:v>12.95</c:v>
                </c:pt>
                <c:pt idx="1196">
                  <c:v>43.85</c:v>
                </c:pt>
                <c:pt idx="1197">
                  <c:v>6.71</c:v>
                </c:pt>
                <c:pt idx="1198">
                  <c:v>14.01</c:v>
                </c:pt>
                <c:pt idx="1199">
                  <c:v>43.67</c:v>
                </c:pt>
                <c:pt idx="1200">
                  <c:v>40.229999999999997</c:v>
                </c:pt>
                <c:pt idx="1201">
                  <c:v>31.43</c:v>
                </c:pt>
                <c:pt idx="1202">
                  <c:v>8.19</c:v>
                </c:pt>
                <c:pt idx="1203">
                  <c:v>24.28</c:v>
                </c:pt>
                <c:pt idx="1204">
                  <c:v>19.18</c:v>
                </c:pt>
                <c:pt idx="1205">
                  <c:v>36.11</c:v>
                </c:pt>
                <c:pt idx="1206">
                  <c:v>42.56</c:v>
                </c:pt>
                <c:pt idx="1207">
                  <c:v>38.53</c:v>
                </c:pt>
                <c:pt idx="1208">
                  <c:v>48.38</c:v>
                </c:pt>
                <c:pt idx="1209">
                  <c:v>10.99</c:v>
                </c:pt>
                <c:pt idx="1210">
                  <c:v>26.16</c:v>
                </c:pt>
                <c:pt idx="1211">
                  <c:v>47.67</c:v>
                </c:pt>
                <c:pt idx="1212">
                  <c:v>42.15</c:v>
                </c:pt>
                <c:pt idx="1213">
                  <c:v>12.9</c:v>
                </c:pt>
                <c:pt idx="1214">
                  <c:v>10.18</c:v>
                </c:pt>
                <c:pt idx="1215">
                  <c:v>13.41</c:v>
                </c:pt>
                <c:pt idx="1216">
                  <c:v>20.350000000000001</c:v>
                </c:pt>
                <c:pt idx="1217">
                  <c:v>27.65</c:v>
                </c:pt>
                <c:pt idx="1218">
                  <c:v>7.62</c:v>
                </c:pt>
                <c:pt idx="1219">
                  <c:v>24.64</c:v>
                </c:pt>
                <c:pt idx="1220">
                  <c:v>38.65</c:v>
                </c:pt>
                <c:pt idx="1221">
                  <c:v>38.450000000000003</c:v>
                </c:pt>
                <c:pt idx="1222">
                  <c:v>45.78</c:v>
                </c:pt>
                <c:pt idx="1223">
                  <c:v>6.15</c:v>
                </c:pt>
                <c:pt idx="1224">
                  <c:v>41.31</c:v>
                </c:pt>
                <c:pt idx="1225">
                  <c:v>47.6</c:v>
                </c:pt>
                <c:pt idx="1226">
                  <c:v>28.72</c:v>
                </c:pt>
                <c:pt idx="1227">
                  <c:v>6.89</c:v>
                </c:pt>
                <c:pt idx="1228">
                  <c:v>44.3</c:v>
                </c:pt>
                <c:pt idx="1229">
                  <c:v>43.37</c:v>
                </c:pt>
                <c:pt idx="1230">
                  <c:v>13.12</c:v>
                </c:pt>
                <c:pt idx="1231">
                  <c:v>31.96</c:v>
                </c:pt>
                <c:pt idx="1232">
                  <c:v>8.89</c:v>
                </c:pt>
                <c:pt idx="1233">
                  <c:v>14.41</c:v>
                </c:pt>
                <c:pt idx="1234">
                  <c:v>41.73</c:v>
                </c:pt>
                <c:pt idx="1235">
                  <c:v>6.14</c:v>
                </c:pt>
                <c:pt idx="1236">
                  <c:v>21.56</c:v>
                </c:pt>
                <c:pt idx="1237">
                  <c:v>31.53</c:v>
                </c:pt>
                <c:pt idx="1238">
                  <c:v>19.95</c:v>
                </c:pt>
                <c:pt idx="1239">
                  <c:v>19.45</c:v>
                </c:pt>
                <c:pt idx="1240">
                  <c:v>9.31</c:v>
                </c:pt>
                <c:pt idx="1241">
                  <c:v>46.57</c:v>
                </c:pt>
                <c:pt idx="1242">
                  <c:v>37.47</c:v>
                </c:pt>
                <c:pt idx="1243">
                  <c:v>25.86</c:v>
                </c:pt>
                <c:pt idx="1244">
                  <c:v>21.17</c:v>
                </c:pt>
                <c:pt idx="1245">
                  <c:v>36.68</c:v>
                </c:pt>
                <c:pt idx="1246">
                  <c:v>22.88</c:v>
                </c:pt>
                <c:pt idx="1247">
                  <c:v>12.98</c:v>
                </c:pt>
                <c:pt idx="1248">
                  <c:v>30.8</c:v>
                </c:pt>
                <c:pt idx="1249">
                  <c:v>15.47</c:v>
                </c:pt>
                <c:pt idx="1250">
                  <c:v>32.96</c:v>
                </c:pt>
                <c:pt idx="1251">
                  <c:v>10.72</c:v>
                </c:pt>
                <c:pt idx="1252">
                  <c:v>24.51</c:v>
                </c:pt>
                <c:pt idx="1253">
                  <c:v>44.85</c:v>
                </c:pt>
                <c:pt idx="1254">
                  <c:v>32.01</c:v>
                </c:pt>
                <c:pt idx="1255">
                  <c:v>39.72</c:v>
                </c:pt>
                <c:pt idx="1256">
                  <c:v>21.82</c:v>
                </c:pt>
                <c:pt idx="1257">
                  <c:v>28.3</c:v>
                </c:pt>
                <c:pt idx="1258">
                  <c:v>29.64</c:v>
                </c:pt>
                <c:pt idx="1259">
                  <c:v>20.58</c:v>
                </c:pt>
                <c:pt idx="1260">
                  <c:v>19.63</c:v>
                </c:pt>
                <c:pt idx="1261">
                  <c:v>22.68</c:v>
                </c:pt>
                <c:pt idx="1262">
                  <c:v>22.81</c:v>
                </c:pt>
                <c:pt idx="1263">
                  <c:v>18.260000000000002</c:v>
                </c:pt>
                <c:pt idx="1264">
                  <c:v>12.12</c:v>
                </c:pt>
                <c:pt idx="1265">
                  <c:v>8.5399999999999991</c:v>
                </c:pt>
                <c:pt idx="1266">
                  <c:v>49.93</c:v>
                </c:pt>
                <c:pt idx="1267">
                  <c:v>7.59</c:v>
                </c:pt>
                <c:pt idx="1268">
                  <c:v>48.46</c:v>
                </c:pt>
                <c:pt idx="1269">
                  <c:v>36.28</c:v>
                </c:pt>
                <c:pt idx="1270">
                  <c:v>29.19</c:v>
                </c:pt>
                <c:pt idx="1271">
                  <c:v>42.91</c:v>
                </c:pt>
                <c:pt idx="1272">
                  <c:v>12.07</c:v>
                </c:pt>
                <c:pt idx="1273">
                  <c:v>5.41</c:v>
                </c:pt>
                <c:pt idx="1274">
                  <c:v>49.23</c:v>
                </c:pt>
                <c:pt idx="1275">
                  <c:v>32.04</c:v>
                </c:pt>
                <c:pt idx="1276">
                  <c:v>30.12</c:v>
                </c:pt>
                <c:pt idx="1277">
                  <c:v>48.57</c:v>
                </c:pt>
                <c:pt idx="1278">
                  <c:v>35.520000000000003</c:v>
                </c:pt>
                <c:pt idx="1279">
                  <c:v>16.079999999999998</c:v>
                </c:pt>
                <c:pt idx="1280">
                  <c:v>8.48</c:v>
                </c:pt>
                <c:pt idx="1281">
                  <c:v>40.68</c:v>
                </c:pt>
                <c:pt idx="1282">
                  <c:v>48.94</c:v>
                </c:pt>
                <c:pt idx="1283">
                  <c:v>22.12</c:v>
                </c:pt>
                <c:pt idx="1284">
                  <c:v>23.19</c:v>
                </c:pt>
                <c:pt idx="1285">
                  <c:v>26.37</c:v>
                </c:pt>
                <c:pt idx="1286">
                  <c:v>33.65</c:v>
                </c:pt>
                <c:pt idx="1287">
                  <c:v>11.67</c:v>
                </c:pt>
                <c:pt idx="1288">
                  <c:v>30.21</c:v>
                </c:pt>
                <c:pt idx="1289">
                  <c:v>5.82</c:v>
                </c:pt>
                <c:pt idx="1290">
                  <c:v>43.86</c:v>
                </c:pt>
                <c:pt idx="1291">
                  <c:v>41.78</c:v>
                </c:pt>
                <c:pt idx="1292">
                  <c:v>31.44</c:v>
                </c:pt>
                <c:pt idx="1293">
                  <c:v>13.97</c:v>
                </c:pt>
                <c:pt idx="1294">
                  <c:v>35.92</c:v>
                </c:pt>
                <c:pt idx="1295">
                  <c:v>13.19</c:v>
                </c:pt>
                <c:pt idx="1296">
                  <c:v>15.38</c:v>
                </c:pt>
                <c:pt idx="1297">
                  <c:v>49.26</c:v>
                </c:pt>
                <c:pt idx="1298">
                  <c:v>38.72</c:v>
                </c:pt>
                <c:pt idx="1299">
                  <c:v>25.84</c:v>
                </c:pt>
                <c:pt idx="1300">
                  <c:v>44.92</c:v>
                </c:pt>
                <c:pt idx="1301">
                  <c:v>47.23</c:v>
                </c:pt>
                <c:pt idx="1302">
                  <c:v>36.72</c:v>
                </c:pt>
                <c:pt idx="1303">
                  <c:v>32.799999999999997</c:v>
                </c:pt>
                <c:pt idx="1304">
                  <c:v>21.73</c:v>
                </c:pt>
                <c:pt idx="1305">
                  <c:v>12.87</c:v>
                </c:pt>
                <c:pt idx="1306">
                  <c:v>35.869999999999997</c:v>
                </c:pt>
                <c:pt idx="1307">
                  <c:v>33.19</c:v>
                </c:pt>
                <c:pt idx="1308">
                  <c:v>10.44</c:v>
                </c:pt>
                <c:pt idx="1309">
                  <c:v>5.46</c:v>
                </c:pt>
                <c:pt idx="1310">
                  <c:v>34.96</c:v>
                </c:pt>
                <c:pt idx="1311">
                  <c:v>41.87</c:v>
                </c:pt>
                <c:pt idx="1312">
                  <c:v>19.170000000000002</c:v>
                </c:pt>
                <c:pt idx="1313">
                  <c:v>38.979999999999997</c:v>
                </c:pt>
                <c:pt idx="1314">
                  <c:v>39.869999999999997</c:v>
                </c:pt>
                <c:pt idx="1315">
                  <c:v>25.54</c:v>
                </c:pt>
                <c:pt idx="1316">
                  <c:v>15.43</c:v>
                </c:pt>
                <c:pt idx="1317">
                  <c:v>37.14</c:v>
                </c:pt>
                <c:pt idx="1318">
                  <c:v>18.46</c:v>
                </c:pt>
                <c:pt idx="1319">
                  <c:v>12.91</c:v>
                </c:pt>
                <c:pt idx="1320">
                  <c:v>26.32</c:v>
                </c:pt>
                <c:pt idx="1321">
                  <c:v>6.22</c:v>
                </c:pt>
                <c:pt idx="1322">
                  <c:v>9.08</c:v>
                </c:pt>
                <c:pt idx="1323">
                  <c:v>38.89</c:v>
                </c:pt>
                <c:pt idx="1324">
                  <c:v>7.54</c:v>
                </c:pt>
                <c:pt idx="1325">
                  <c:v>9.98</c:v>
                </c:pt>
                <c:pt idx="1326">
                  <c:v>6.49</c:v>
                </c:pt>
                <c:pt idx="1327">
                  <c:v>26.49</c:v>
                </c:pt>
                <c:pt idx="1328">
                  <c:v>24.98</c:v>
                </c:pt>
                <c:pt idx="1329">
                  <c:v>27.45</c:v>
                </c:pt>
                <c:pt idx="1330">
                  <c:v>28.71</c:v>
                </c:pt>
                <c:pt idx="1331">
                  <c:v>17.03</c:v>
                </c:pt>
                <c:pt idx="1332">
                  <c:v>29.11</c:v>
                </c:pt>
                <c:pt idx="1333">
                  <c:v>16.39</c:v>
                </c:pt>
                <c:pt idx="1334">
                  <c:v>7.59</c:v>
                </c:pt>
                <c:pt idx="1335">
                  <c:v>49.09</c:v>
                </c:pt>
                <c:pt idx="1336">
                  <c:v>10.34</c:v>
                </c:pt>
                <c:pt idx="1337">
                  <c:v>18.02</c:v>
                </c:pt>
                <c:pt idx="1338">
                  <c:v>25.25</c:v>
                </c:pt>
                <c:pt idx="1339">
                  <c:v>14.87</c:v>
                </c:pt>
                <c:pt idx="1340">
                  <c:v>11.62</c:v>
                </c:pt>
                <c:pt idx="1341">
                  <c:v>9.2899999999999991</c:v>
                </c:pt>
                <c:pt idx="1342">
                  <c:v>9.7799999999999994</c:v>
                </c:pt>
                <c:pt idx="1343">
                  <c:v>28.9</c:v>
                </c:pt>
                <c:pt idx="1344">
                  <c:v>11.72</c:v>
                </c:pt>
                <c:pt idx="1345">
                  <c:v>21.95</c:v>
                </c:pt>
                <c:pt idx="1346">
                  <c:v>29.19</c:v>
                </c:pt>
                <c:pt idx="1347">
                  <c:v>24.33</c:v>
                </c:pt>
                <c:pt idx="1348">
                  <c:v>42.65</c:v>
                </c:pt>
                <c:pt idx="1349">
                  <c:v>9.2899999999999991</c:v>
                </c:pt>
                <c:pt idx="1350">
                  <c:v>45.99</c:v>
                </c:pt>
                <c:pt idx="1351">
                  <c:v>32.75</c:v>
                </c:pt>
                <c:pt idx="1352">
                  <c:v>21.46</c:v>
                </c:pt>
                <c:pt idx="1353">
                  <c:v>25.02</c:v>
                </c:pt>
                <c:pt idx="1354">
                  <c:v>36.79</c:v>
                </c:pt>
                <c:pt idx="1355">
                  <c:v>7.35</c:v>
                </c:pt>
                <c:pt idx="1356">
                  <c:v>20.9</c:v>
                </c:pt>
                <c:pt idx="1357">
                  <c:v>15.25</c:v>
                </c:pt>
                <c:pt idx="1358">
                  <c:v>8.91</c:v>
                </c:pt>
                <c:pt idx="1359">
                  <c:v>15.81</c:v>
                </c:pt>
                <c:pt idx="1360">
                  <c:v>37.78</c:v>
                </c:pt>
                <c:pt idx="1361">
                  <c:v>20.92</c:v>
                </c:pt>
                <c:pt idx="1362">
                  <c:v>6.17</c:v>
                </c:pt>
                <c:pt idx="1363">
                  <c:v>23.15</c:v>
                </c:pt>
                <c:pt idx="1364">
                  <c:v>29.9</c:v>
                </c:pt>
                <c:pt idx="1365">
                  <c:v>23.07</c:v>
                </c:pt>
                <c:pt idx="1366">
                  <c:v>15.54</c:v>
                </c:pt>
                <c:pt idx="1367">
                  <c:v>18.22</c:v>
                </c:pt>
                <c:pt idx="1368">
                  <c:v>41.73</c:v>
                </c:pt>
                <c:pt idx="1369">
                  <c:v>15.87</c:v>
                </c:pt>
                <c:pt idx="1370">
                  <c:v>45.11</c:v>
                </c:pt>
                <c:pt idx="1371">
                  <c:v>18.25</c:v>
                </c:pt>
                <c:pt idx="1372">
                  <c:v>12.6</c:v>
                </c:pt>
                <c:pt idx="1373">
                  <c:v>30.43</c:v>
                </c:pt>
                <c:pt idx="1374">
                  <c:v>23.25</c:v>
                </c:pt>
                <c:pt idx="1375">
                  <c:v>44.91</c:v>
                </c:pt>
                <c:pt idx="1376">
                  <c:v>36.68</c:v>
                </c:pt>
                <c:pt idx="1377">
                  <c:v>44.99</c:v>
                </c:pt>
                <c:pt idx="1378">
                  <c:v>6.81</c:v>
                </c:pt>
                <c:pt idx="1379">
                  <c:v>29.18</c:v>
                </c:pt>
                <c:pt idx="1380">
                  <c:v>6.36</c:v>
                </c:pt>
                <c:pt idx="1381">
                  <c:v>21.92</c:v>
                </c:pt>
                <c:pt idx="1382">
                  <c:v>14.03</c:v>
                </c:pt>
                <c:pt idx="1383">
                  <c:v>26.42</c:v>
                </c:pt>
                <c:pt idx="1384">
                  <c:v>40.76</c:v>
                </c:pt>
                <c:pt idx="1385">
                  <c:v>8.3699999999999992</c:v>
                </c:pt>
                <c:pt idx="1386">
                  <c:v>26.12</c:v>
                </c:pt>
                <c:pt idx="1387">
                  <c:v>18.8</c:v>
                </c:pt>
                <c:pt idx="1388">
                  <c:v>45.14</c:v>
                </c:pt>
                <c:pt idx="1389">
                  <c:v>16.399999999999999</c:v>
                </c:pt>
                <c:pt idx="1390">
                  <c:v>9.86</c:v>
                </c:pt>
                <c:pt idx="1391">
                  <c:v>20.92</c:v>
                </c:pt>
                <c:pt idx="1392">
                  <c:v>42.79</c:v>
                </c:pt>
                <c:pt idx="1393">
                  <c:v>30.69</c:v>
                </c:pt>
                <c:pt idx="1394">
                  <c:v>21.54</c:v>
                </c:pt>
                <c:pt idx="1395">
                  <c:v>14.09</c:v>
                </c:pt>
                <c:pt idx="1396">
                  <c:v>19.53</c:v>
                </c:pt>
                <c:pt idx="1397">
                  <c:v>49.71</c:v>
                </c:pt>
                <c:pt idx="1398">
                  <c:v>37.659999999999997</c:v>
                </c:pt>
                <c:pt idx="1399">
                  <c:v>22.95</c:v>
                </c:pt>
                <c:pt idx="1400">
                  <c:v>34.19</c:v>
                </c:pt>
                <c:pt idx="1401">
                  <c:v>35.61</c:v>
                </c:pt>
                <c:pt idx="1402">
                  <c:v>14.98</c:v>
                </c:pt>
                <c:pt idx="1403">
                  <c:v>18.72</c:v>
                </c:pt>
                <c:pt idx="1404">
                  <c:v>49.59</c:v>
                </c:pt>
                <c:pt idx="1405">
                  <c:v>19.37</c:v>
                </c:pt>
                <c:pt idx="1406">
                  <c:v>23.61</c:v>
                </c:pt>
                <c:pt idx="1407">
                  <c:v>43.14</c:v>
                </c:pt>
                <c:pt idx="1408">
                  <c:v>48.98</c:v>
                </c:pt>
                <c:pt idx="1409">
                  <c:v>29.41</c:v>
                </c:pt>
                <c:pt idx="1410">
                  <c:v>22.97</c:v>
                </c:pt>
                <c:pt idx="1411">
                  <c:v>11.52</c:v>
                </c:pt>
                <c:pt idx="1412">
                  <c:v>32.92</c:v>
                </c:pt>
                <c:pt idx="1413">
                  <c:v>36.340000000000003</c:v>
                </c:pt>
                <c:pt idx="1414">
                  <c:v>45.25</c:v>
                </c:pt>
                <c:pt idx="1415">
                  <c:v>11.21</c:v>
                </c:pt>
                <c:pt idx="1416">
                  <c:v>34.76</c:v>
                </c:pt>
                <c:pt idx="1417">
                  <c:v>42.43</c:v>
                </c:pt>
                <c:pt idx="1418">
                  <c:v>36.049999999999997</c:v>
                </c:pt>
                <c:pt idx="1419">
                  <c:v>38.81</c:v>
                </c:pt>
                <c:pt idx="1420">
                  <c:v>17.89</c:v>
                </c:pt>
                <c:pt idx="1421">
                  <c:v>13.62</c:v>
                </c:pt>
                <c:pt idx="1422">
                  <c:v>31.04</c:v>
                </c:pt>
                <c:pt idx="1423">
                  <c:v>33.369999999999997</c:v>
                </c:pt>
                <c:pt idx="1424">
                  <c:v>6.53</c:v>
                </c:pt>
                <c:pt idx="1425">
                  <c:v>41.3</c:v>
                </c:pt>
                <c:pt idx="1426">
                  <c:v>37.81</c:v>
                </c:pt>
                <c:pt idx="1427">
                  <c:v>32.54</c:v>
                </c:pt>
                <c:pt idx="1428">
                  <c:v>28.07</c:v>
                </c:pt>
                <c:pt idx="1429">
                  <c:v>21.89</c:v>
                </c:pt>
                <c:pt idx="1430">
                  <c:v>38.729999999999997</c:v>
                </c:pt>
                <c:pt idx="1431">
                  <c:v>43.29</c:v>
                </c:pt>
                <c:pt idx="1432">
                  <c:v>29.18</c:v>
                </c:pt>
                <c:pt idx="1433">
                  <c:v>12.88</c:v>
                </c:pt>
                <c:pt idx="1434">
                  <c:v>5.13</c:v>
                </c:pt>
                <c:pt idx="1435">
                  <c:v>10.61</c:v>
                </c:pt>
                <c:pt idx="1436">
                  <c:v>45.89</c:v>
                </c:pt>
                <c:pt idx="1437">
                  <c:v>32.159999999999997</c:v>
                </c:pt>
                <c:pt idx="1438">
                  <c:v>22.24</c:v>
                </c:pt>
                <c:pt idx="1439">
                  <c:v>12.86</c:v>
                </c:pt>
                <c:pt idx="1440">
                  <c:v>23.89</c:v>
                </c:pt>
                <c:pt idx="1441">
                  <c:v>47.19</c:v>
                </c:pt>
                <c:pt idx="1442">
                  <c:v>35.28</c:v>
                </c:pt>
                <c:pt idx="1443">
                  <c:v>42.11</c:v>
                </c:pt>
                <c:pt idx="1444">
                  <c:v>44.14</c:v>
                </c:pt>
                <c:pt idx="1445">
                  <c:v>27.55</c:v>
                </c:pt>
                <c:pt idx="1446">
                  <c:v>17.809999999999999</c:v>
                </c:pt>
                <c:pt idx="1447">
                  <c:v>32.28</c:v>
                </c:pt>
                <c:pt idx="1448">
                  <c:v>45.19</c:v>
                </c:pt>
                <c:pt idx="1449">
                  <c:v>24.8</c:v>
                </c:pt>
                <c:pt idx="1450">
                  <c:v>24.38</c:v>
                </c:pt>
                <c:pt idx="1451">
                  <c:v>14.92</c:v>
                </c:pt>
                <c:pt idx="1452">
                  <c:v>12.63</c:v>
                </c:pt>
                <c:pt idx="1453">
                  <c:v>26.68</c:v>
                </c:pt>
                <c:pt idx="1454">
                  <c:v>16.670000000000002</c:v>
                </c:pt>
                <c:pt idx="1455">
                  <c:v>40.74</c:v>
                </c:pt>
                <c:pt idx="1456">
                  <c:v>9.42</c:v>
                </c:pt>
                <c:pt idx="1457">
                  <c:v>14.44</c:v>
                </c:pt>
                <c:pt idx="1458">
                  <c:v>33.86</c:v>
                </c:pt>
                <c:pt idx="1459">
                  <c:v>9.65</c:v>
                </c:pt>
                <c:pt idx="1460">
                  <c:v>9.85</c:v>
                </c:pt>
                <c:pt idx="1461">
                  <c:v>38.46</c:v>
                </c:pt>
                <c:pt idx="1462">
                  <c:v>25.82</c:v>
                </c:pt>
                <c:pt idx="1463">
                  <c:v>30.18</c:v>
                </c:pt>
                <c:pt idx="1464">
                  <c:v>35.369999999999997</c:v>
                </c:pt>
                <c:pt idx="1465">
                  <c:v>31.85</c:v>
                </c:pt>
                <c:pt idx="1466">
                  <c:v>31.09</c:v>
                </c:pt>
                <c:pt idx="1467">
                  <c:v>32.36</c:v>
                </c:pt>
                <c:pt idx="1468">
                  <c:v>35.94</c:v>
                </c:pt>
                <c:pt idx="1469">
                  <c:v>28.73</c:v>
                </c:pt>
                <c:pt idx="1470">
                  <c:v>5.0999999999999996</c:v>
                </c:pt>
                <c:pt idx="1471">
                  <c:v>35.32</c:v>
                </c:pt>
                <c:pt idx="1472">
                  <c:v>20.05</c:v>
                </c:pt>
                <c:pt idx="1473">
                  <c:v>47.93</c:v>
                </c:pt>
                <c:pt idx="1474">
                  <c:v>13</c:v>
                </c:pt>
                <c:pt idx="1475">
                  <c:v>22.88</c:v>
                </c:pt>
                <c:pt idx="1476">
                  <c:v>40.47</c:v>
                </c:pt>
                <c:pt idx="1477">
                  <c:v>33.1</c:v>
                </c:pt>
                <c:pt idx="1478">
                  <c:v>47.14</c:v>
                </c:pt>
                <c:pt idx="1479">
                  <c:v>8.5</c:v>
                </c:pt>
                <c:pt idx="1480">
                  <c:v>42.52</c:v>
                </c:pt>
                <c:pt idx="1481">
                  <c:v>48.6</c:v>
                </c:pt>
                <c:pt idx="1482">
                  <c:v>35.94</c:v>
                </c:pt>
                <c:pt idx="1483">
                  <c:v>24.55</c:v>
                </c:pt>
                <c:pt idx="1484">
                  <c:v>37.94</c:v>
                </c:pt>
                <c:pt idx="1485">
                  <c:v>6.78</c:v>
                </c:pt>
                <c:pt idx="1486">
                  <c:v>9.1</c:v>
                </c:pt>
                <c:pt idx="1487">
                  <c:v>10.86</c:v>
                </c:pt>
                <c:pt idx="1488">
                  <c:v>38.93</c:v>
                </c:pt>
                <c:pt idx="1489">
                  <c:v>10.119999999999999</c:v>
                </c:pt>
                <c:pt idx="1490">
                  <c:v>19.46</c:v>
                </c:pt>
                <c:pt idx="1491">
                  <c:v>6.56</c:v>
                </c:pt>
                <c:pt idx="1492">
                  <c:v>26.9</c:v>
                </c:pt>
                <c:pt idx="1493">
                  <c:v>29.19</c:v>
                </c:pt>
                <c:pt idx="1494">
                  <c:v>49.13</c:v>
                </c:pt>
                <c:pt idx="1495">
                  <c:v>35.630000000000003</c:v>
                </c:pt>
                <c:pt idx="1496">
                  <c:v>45.93</c:v>
                </c:pt>
                <c:pt idx="1497">
                  <c:v>35.56</c:v>
                </c:pt>
                <c:pt idx="1498">
                  <c:v>24.53</c:v>
                </c:pt>
                <c:pt idx="1499">
                  <c:v>21.05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1-4B5E-BAD5-91C9716C773B}"/>
            </c:ext>
          </c:extLst>
        </c:ser>
        <c:ser>
          <c:idx val="1"/>
          <c:order val="1"/>
          <c:tx>
            <c:strRef>
              <c:f>Rozrahunky!$A$1</c:f>
              <c:strCache>
                <c:ptCount val="1"/>
                <c:pt idx="0">
                  <c:v>TotalPrice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>
                    <a:tint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Rozrahunky!$A$2:$A$1501</c:f>
              <c:numCache>
                <c:formatCode>General</c:formatCode>
                <c:ptCount val="1500"/>
                <c:pt idx="0">
                  <c:v>2290.4</c:v>
                </c:pt>
                <c:pt idx="1">
                  <c:v>544.01</c:v>
                </c:pt>
                <c:pt idx="2">
                  <c:v>4361.8680000000004</c:v>
                </c:pt>
                <c:pt idx="3">
                  <c:v>5887.7460000000001</c:v>
                </c:pt>
                <c:pt idx="4">
                  <c:v>4279.68</c:v>
                </c:pt>
                <c:pt idx="5">
                  <c:v>654.65299999999991</c:v>
                </c:pt>
                <c:pt idx="6">
                  <c:v>110.25</c:v>
                </c:pt>
                <c:pt idx="7">
                  <c:v>842.06100000000004</c:v>
                </c:pt>
                <c:pt idx="8">
                  <c:v>1231.3140000000001</c:v>
                </c:pt>
                <c:pt idx="9">
                  <c:v>1454.76</c:v>
                </c:pt>
                <c:pt idx="10">
                  <c:v>6671.9474999999993</c:v>
                </c:pt>
                <c:pt idx="11">
                  <c:v>3545.6849999999999</c:v>
                </c:pt>
                <c:pt idx="12">
                  <c:v>114.5035</c:v>
                </c:pt>
                <c:pt idx="13">
                  <c:v>134.15549999999999</c:v>
                </c:pt>
                <c:pt idx="14">
                  <c:v>2808.8249999999998</c:v>
                </c:pt>
                <c:pt idx="15">
                  <c:v>2631.8040000000001</c:v>
                </c:pt>
                <c:pt idx="16">
                  <c:v>4486.09</c:v>
                </c:pt>
                <c:pt idx="17">
                  <c:v>5989.3130000000001</c:v>
                </c:pt>
                <c:pt idx="18">
                  <c:v>8823.6799999999985</c:v>
                </c:pt>
                <c:pt idx="19">
                  <c:v>431.62</c:v>
                </c:pt>
                <c:pt idx="20">
                  <c:v>3190.5</c:v>
                </c:pt>
                <c:pt idx="21">
                  <c:v>4160.107</c:v>
                </c:pt>
                <c:pt idx="22">
                  <c:v>5536.3</c:v>
                </c:pt>
                <c:pt idx="23">
                  <c:v>4821.7440000000006</c:v>
                </c:pt>
                <c:pt idx="24">
                  <c:v>1440.05</c:v>
                </c:pt>
                <c:pt idx="25">
                  <c:v>7309.77</c:v>
                </c:pt>
                <c:pt idx="26">
                  <c:v>101.73</c:v>
                </c:pt>
                <c:pt idx="27">
                  <c:v>1117.96</c:v>
                </c:pt>
                <c:pt idx="28">
                  <c:v>151.76750000000001</c:v>
                </c:pt>
                <c:pt idx="29">
                  <c:v>424.863</c:v>
                </c:pt>
                <c:pt idx="30">
                  <c:v>3675.48</c:v>
                </c:pt>
                <c:pt idx="31">
                  <c:v>2586.8815</c:v>
                </c:pt>
                <c:pt idx="32">
                  <c:v>389.88</c:v>
                </c:pt>
                <c:pt idx="33">
                  <c:v>8100.33</c:v>
                </c:pt>
                <c:pt idx="34">
                  <c:v>1903.048</c:v>
                </c:pt>
                <c:pt idx="35">
                  <c:v>1149.96</c:v>
                </c:pt>
                <c:pt idx="36">
                  <c:v>2934.4454999999998</c:v>
                </c:pt>
                <c:pt idx="37">
                  <c:v>1791.0094999999999</c:v>
                </c:pt>
                <c:pt idx="38">
                  <c:v>5394.4380000000001</c:v>
                </c:pt>
                <c:pt idx="39">
                  <c:v>855.57599999999991</c:v>
                </c:pt>
                <c:pt idx="40">
                  <c:v>2116.44</c:v>
                </c:pt>
                <c:pt idx="41">
                  <c:v>1238.23</c:v>
                </c:pt>
                <c:pt idx="42">
                  <c:v>434.04</c:v>
                </c:pt>
                <c:pt idx="43">
                  <c:v>1561.654</c:v>
                </c:pt>
                <c:pt idx="44">
                  <c:v>790.51400000000001</c:v>
                </c:pt>
                <c:pt idx="45">
                  <c:v>4841.28</c:v>
                </c:pt>
                <c:pt idx="46">
                  <c:v>309.76549999999997</c:v>
                </c:pt>
                <c:pt idx="47">
                  <c:v>3961.136</c:v>
                </c:pt>
                <c:pt idx="48">
                  <c:v>743.17500000000007</c:v>
                </c:pt>
                <c:pt idx="49">
                  <c:v>2889.558</c:v>
                </c:pt>
                <c:pt idx="50">
                  <c:v>772.08299999999997</c:v>
                </c:pt>
                <c:pt idx="51">
                  <c:v>503.38</c:v>
                </c:pt>
                <c:pt idx="52">
                  <c:v>242.46899999999999</c:v>
                </c:pt>
                <c:pt idx="53">
                  <c:v>705.47</c:v>
                </c:pt>
                <c:pt idx="54">
                  <c:v>2695.0439999999999</c:v>
                </c:pt>
                <c:pt idx="55">
                  <c:v>2432.2375000000002</c:v>
                </c:pt>
                <c:pt idx="56">
                  <c:v>2113.7460000000001</c:v>
                </c:pt>
                <c:pt idx="57">
                  <c:v>451.71</c:v>
                </c:pt>
                <c:pt idx="58">
                  <c:v>3923.766000000001</c:v>
                </c:pt>
                <c:pt idx="59">
                  <c:v>5418.8190000000004</c:v>
                </c:pt>
                <c:pt idx="60">
                  <c:v>5016.0200000000004</c:v>
                </c:pt>
                <c:pt idx="61">
                  <c:v>2413.44</c:v>
                </c:pt>
                <c:pt idx="62">
                  <c:v>1283.5530000000001</c:v>
                </c:pt>
                <c:pt idx="63">
                  <c:v>642.6</c:v>
                </c:pt>
                <c:pt idx="64">
                  <c:v>7667.55</c:v>
                </c:pt>
                <c:pt idx="65">
                  <c:v>179.76599999999999</c:v>
                </c:pt>
                <c:pt idx="66">
                  <c:v>2329.9699999999998</c:v>
                </c:pt>
                <c:pt idx="67">
                  <c:v>3085.2959999999998</c:v>
                </c:pt>
                <c:pt idx="68">
                  <c:v>143.46899999999999</c:v>
                </c:pt>
                <c:pt idx="69">
                  <c:v>523.46400000000006</c:v>
                </c:pt>
                <c:pt idx="70">
                  <c:v>4186.59</c:v>
                </c:pt>
                <c:pt idx="71">
                  <c:v>9864.18</c:v>
                </c:pt>
                <c:pt idx="72">
                  <c:v>5982.9575000000004</c:v>
                </c:pt>
                <c:pt idx="73">
                  <c:v>2418.6239999999998</c:v>
                </c:pt>
                <c:pt idx="74">
                  <c:v>483.53100000000001</c:v>
                </c:pt>
                <c:pt idx="75">
                  <c:v>4985.1899999999996</c:v>
                </c:pt>
                <c:pt idx="76">
                  <c:v>5613.5519999999997</c:v>
                </c:pt>
                <c:pt idx="77">
                  <c:v>2344.2150000000001</c:v>
                </c:pt>
                <c:pt idx="78">
                  <c:v>3138.2</c:v>
                </c:pt>
                <c:pt idx="79">
                  <c:v>6686.67</c:v>
                </c:pt>
                <c:pt idx="80">
                  <c:v>318.25</c:v>
                </c:pt>
                <c:pt idx="81">
                  <c:v>1772.0374999999999</c:v>
                </c:pt>
                <c:pt idx="82">
                  <c:v>2435.5529999999999</c:v>
                </c:pt>
                <c:pt idx="83">
                  <c:v>6990.24</c:v>
                </c:pt>
                <c:pt idx="84">
                  <c:v>2202.52</c:v>
                </c:pt>
                <c:pt idx="85">
                  <c:v>7340.94</c:v>
                </c:pt>
                <c:pt idx="86">
                  <c:v>237.75</c:v>
                </c:pt>
                <c:pt idx="87">
                  <c:v>9870.1200000000008</c:v>
                </c:pt>
                <c:pt idx="88">
                  <c:v>7992.616</c:v>
                </c:pt>
                <c:pt idx="89">
                  <c:v>5862.165</c:v>
                </c:pt>
                <c:pt idx="90">
                  <c:v>9575.1450000000004</c:v>
                </c:pt>
                <c:pt idx="91">
                  <c:v>1367.24</c:v>
                </c:pt>
                <c:pt idx="92">
                  <c:v>5040.329999999999</c:v>
                </c:pt>
                <c:pt idx="93">
                  <c:v>4629.8999999999996</c:v>
                </c:pt>
                <c:pt idx="94">
                  <c:v>3060.596</c:v>
                </c:pt>
                <c:pt idx="95">
                  <c:v>4998.7479999999996</c:v>
                </c:pt>
                <c:pt idx="96">
                  <c:v>307.63850000000002</c:v>
                </c:pt>
                <c:pt idx="97">
                  <c:v>5030.7</c:v>
                </c:pt>
                <c:pt idx="98">
                  <c:v>8358.56</c:v>
                </c:pt>
                <c:pt idx="99">
                  <c:v>7565.4674999999997</c:v>
                </c:pt>
                <c:pt idx="100">
                  <c:v>3756.4560000000001</c:v>
                </c:pt>
                <c:pt idx="101">
                  <c:v>663</c:v>
                </c:pt>
                <c:pt idx="102">
                  <c:v>1074.165</c:v>
                </c:pt>
                <c:pt idx="103">
                  <c:v>1698.6</c:v>
                </c:pt>
                <c:pt idx="104">
                  <c:v>2222.297</c:v>
                </c:pt>
                <c:pt idx="105">
                  <c:v>520.70399999999995</c:v>
                </c:pt>
                <c:pt idx="106">
                  <c:v>140.48599999999999</c:v>
                </c:pt>
                <c:pt idx="107">
                  <c:v>6616.6559999999999</c:v>
                </c:pt>
                <c:pt idx="108">
                  <c:v>504.15</c:v>
                </c:pt>
                <c:pt idx="109">
                  <c:v>446.72599999999989</c:v>
                </c:pt>
                <c:pt idx="110">
                  <c:v>604.64</c:v>
                </c:pt>
                <c:pt idx="111">
                  <c:v>1202.2739999999999</c:v>
                </c:pt>
                <c:pt idx="112">
                  <c:v>531.95249999999987</c:v>
                </c:pt>
                <c:pt idx="113">
                  <c:v>8216.4060000000009</c:v>
                </c:pt>
                <c:pt idx="114">
                  <c:v>1078</c:v>
                </c:pt>
                <c:pt idx="115">
                  <c:v>3771</c:v>
                </c:pt>
                <c:pt idx="116">
                  <c:v>2512.6559999999999</c:v>
                </c:pt>
                <c:pt idx="117">
                  <c:v>549.36599999999999</c:v>
                </c:pt>
                <c:pt idx="118">
                  <c:v>1984.65</c:v>
                </c:pt>
                <c:pt idx="119">
                  <c:v>4831.415</c:v>
                </c:pt>
                <c:pt idx="120">
                  <c:v>2570.1390000000001</c:v>
                </c:pt>
                <c:pt idx="121">
                  <c:v>2819.61</c:v>
                </c:pt>
                <c:pt idx="122">
                  <c:v>479.56499999999988</c:v>
                </c:pt>
                <c:pt idx="123">
                  <c:v>92.649999999999991</c:v>
                </c:pt>
                <c:pt idx="124">
                  <c:v>2590.4</c:v>
                </c:pt>
                <c:pt idx="125">
                  <c:v>5841.6639999999998</c:v>
                </c:pt>
                <c:pt idx="126">
                  <c:v>2228.4960000000001</c:v>
                </c:pt>
                <c:pt idx="127">
                  <c:v>117.05</c:v>
                </c:pt>
                <c:pt idx="128">
                  <c:v>8311.2999999999993</c:v>
                </c:pt>
                <c:pt idx="129">
                  <c:v>3009.5239999999999</c:v>
                </c:pt>
                <c:pt idx="130">
                  <c:v>5117.6400000000003</c:v>
                </c:pt>
                <c:pt idx="131">
                  <c:v>6197.0999999999995</c:v>
                </c:pt>
                <c:pt idx="132">
                  <c:v>5633.28</c:v>
                </c:pt>
                <c:pt idx="133">
                  <c:v>3308.6410000000001</c:v>
                </c:pt>
                <c:pt idx="134">
                  <c:v>2148.1019999999999</c:v>
                </c:pt>
                <c:pt idx="135">
                  <c:v>2790.72</c:v>
                </c:pt>
                <c:pt idx="136">
                  <c:v>3592.9854999999998</c:v>
                </c:pt>
                <c:pt idx="137">
                  <c:v>2271.951</c:v>
                </c:pt>
                <c:pt idx="138">
                  <c:v>811.98400000000004</c:v>
                </c:pt>
                <c:pt idx="139">
                  <c:v>842.66899999999998</c:v>
                </c:pt>
                <c:pt idx="140">
                  <c:v>3100.9614999999999</c:v>
                </c:pt>
                <c:pt idx="141">
                  <c:v>4604.0929999999998</c:v>
                </c:pt>
                <c:pt idx="142">
                  <c:v>6484.2800000000007</c:v>
                </c:pt>
                <c:pt idx="143">
                  <c:v>2338.4520000000002</c:v>
                </c:pt>
                <c:pt idx="144">
                  <c:v>654.64</c:v>
                </c:pt>
                <c:pt idx="145">
                  <c:v>7820.6374999999998</c:v>
                </c:pt>
                <c:pt idx="146">
                  <c:v>3081.24</c:v>
                </c:pt>
                <c:pt idx="147">
                  <c:v>5085.4139999999998</c:v>
                </c:pt>
                <c:pt idx="148">
                  <c:v>3005.895</c:v>
                </c:pt>
                <c:pt idx="149">
                  <c:v>3445.2</c:v>
                </c:pt>
                <c:pt idx="150">
                  <c:v>985.03950000000009</c:v>
                </c:pt>
                <c:pt idx="151">
                  <c:v>1129.95</c:v>
                </c:pt>
                <c:pt idx="152">
                  <c:v>5313.52</c:v>
                </c:pt>
                <c:pt idx="153">
                  <c:v>5357.0595000000003</c:v>
                </c:pt>
                <c:pt idx="154">
                  <c:v>3186.6</c:v>
                </c:pt>
                <c:pt idx="155">
                  <c:v>551.13299999999992</c:v>
                </c:pt>
                <c:pt idx="156">
                  <c:v>1424.979</c:v>
                </c:pt>
                <c:pt idx="157">
                  <c:v>4075.26</c:v>
                </c:pt>
                <c:pt idx="158">
                  <c:v>2800.96</c:v>
                </c:pt>
                <c:pt idx="159">
                  <c:v>1854.97</c:v>
                </c:pt>
                <c:pt idx="160">
                  <c:v>3784.3</c:v>
                </c:pt>
                <c:pt idx="161">
                  <c:v>478.99200000000002</c:v>
                </c:pt>
                <c:pt idx="162">
                  <c:v>79.599999999999994</c:v>
                </c:pt>
                <c:pt idx="163">
                  <c:v>1634.992</c:v>
                </c:pt>
                <c:pt idx="164">
                  <c:v>1241.46</c:v>
                </c:pt>
                <c:pt idx="165">
                  <c:v>832.05000000000007</c:v>
                </c:pt>
                <c:pt idx="166">
                  <c:v>8806.69</c:v>
                </c:pt>
                <c:pt idx="167">
                  <c:v>1893.2550000000001</c:v>
                </c:pt>
                <c:pt idx="168">
                  <c:v>6521.75</c:v>
                </c:pt>
                <c:pt idx="169">
                  <c:v>485.72399999999988</c:v>
                </c:pt>
                <c:pt idx="170">
                  <c:v>1294.28</c:v>
                </c:pt>
                <c:pt idx="171">
                  <c:v>1774.548</c:v>
                </c:pt>
                <c:pt idx="172">
                  <c:v>2926.62</c:v>
                </c:pt>
                <c:pt idx="173">
                  <c:v>9227.94</c:v>
                </c:pt>
                <c:pt idx="174">
                  <c:v>2759.483999999999</c:v>
                </c:pt>
                <c:pt idx="175">
                  <c:v>8525.2619999999988</c:v>
                </c:pt>
                <c:pt idx="176">
                  <c:v>744.14449999999988</c:v>
                </c:pt>
                <c:pt idx="177">
                  <c:v>3888.56</c:v>
                </c:pt>
                <c:pt idx="178">
                  <c:v>2997.1619999999998</c:v>
                </c:pt>
                <c:pt idx="179">
                  <c:v>5474.04</c:v>
                </c:pt>
                <c:pt idx="180">
                  <c:v>1096.848</c:v>
                </c:pt>
                <c:pt idx="181">
                  <c:v>1359.585</c:v>
                </c:pt>
                <c:pt idx="182">
                  <c:v>157.80000000000001</c:v>
                </c:pt>
                <c:pt idx="183">
                  <c:v>1108.384</c:v>
                </c:pt>
                <c:pt idx="184">
                  <c:v>7215.0029999999997</c:v>
                </c:pt>
                <c:pt idx="185">
                  <c:v>6458.5350000000008</c:v>
                </c:pt>
                <c:pt idx="186">
                  <c:v>4515.66</c:v>
                </c:pt>
                <c:pt idx="187">
                  <c:v>1472.8035</c:v>
                </c:pt>
                <c:pt idx="188">
                  <c:v>900.20099999999991</c:v>
                </c:pt>
                <c:pt idx="189">
                  <c:v>286.86</c:v>
                </c:pt>
                <c:pt idx="190">
                  <c:v>6138.9</c:v>
                </c:pt>
                <c:pt idx="191">
                  <c:v>435.85</c:v>
                </c:pt>
                <c:pt idx="192">
                  <c:v>3139.4160000000002</c:v>
                </c:pt>
                <c:pt idx="193">
                  <c:v>728.53499999999997</c:v>
                </c:pt>
                <c:pt idx="194">
                  <c:v>1899.954</c:v>
                </c:pt>
                <c:pt idx="195">
                  <c:v>1160.46</c:v>
                </c:pt>
                <c:pt idx="196">
                  <c:v>2961.0720000000001</c:v>
                </c:pt>
                <c:pt idx="197">
                  <c:v>1736.7</c:v>
                </c:pt>
                <c:pt idx="198">
                  <c:v>1313.604</c:v>
                </c:pt>
                <c:pt idx="199">
                  <c:v>6723.6480000000001</c:v>
                </c:pt>
                <c:pt idx="200">
                  <c:v>2670.8870000000002</c:v>
                </c:pt>
                <c:pt idx="201">
                  <c:v>234.94</c:v>
                </c:pt>
                <c:pt idx="202">
                  <c:v>3532.6934999999999</c:v>
                </c:pt>
                <c:pt idx="203">
                  <c:v>3767.3960000000002</c:v>
                </c:pt>
                <c:pt idx="204">
                  <c:v>3782.5680000000002</c:v>
                </c:pt>
                <c:pt idx="205">
                  <c:v>1102.3610000000001</c:v>
                </c:pt>
                <c:pt idx="206">
                  <c:v>4291.4399999999996</c:v>
                </c:pt>
                <c:pt idx="207">
                  <c:v>94.33</c:v>
                </c:pt>
                <c:pt idx="208">
                  <c:v>7055.1360000000004</c:v>
                </c:pt>
                <c:pt idx="209">
                  <c:v>2096.498</c:v>
                </c:pt>
                <c:pt idx="210">
                  <c:v>8605.9865000000009</c:v>
                </c:pt>
                <c:pt idx="211">
                  <c:v>162.108</c:v>
                </c:pt>
                <c:pt idx="212">
                  <c:v>3075.3</c:v>
                </c:pt>
                <c:pt idx="213">
                  <c:v>4650.3499999999995</c:v>
                </c:pt>
                <c:pt idx="214">
                  <c:v>1010.124</c:v>
                </c:pt>
                <c:pt idx="215">
                  <c:v>9000.32</c:v>
                </c:pt>
                <c:pt idx="216">
                  <c:v>306.57600000000002</c:v>
                </c:pt>
                <c:pt idx="217">
                  <c:v>4605.402</c:v>
                </c:pt>
                <c:pt idx="218">
                  <c:v>220.8895</c:v>
                </c:pt>
                <c:pt idx="219">
                  <c:v>5096.75</c:v>
                </c:pt>
                <c:pt idx="220">
                  <c:v>2661.3</c:v>
                </c:pt>
                <c:pt idx="221">
                  <c:v>8431.3259999999991</c:v>
                </c:pt>
                <c:pt idx="222">
                  <c:v>139.916</c:v>
                </c:pt>
                <c:pt idx="223">
                  <c:v>4217.1899999999996</c:v>
                </c:pt>
                <c:pt idx="224">
                  <c:v>7630.875</c:v>
                </c:pt>
                <c:pt idx="225">
                  <c:v>492.48149999999998</c:v>
                </c:pt>
                <c:pt idx="226">
                  <c:v>5777.96</c:v>
                </c:pt>
                <c:pt idx="227">
                  <c:v>5883.768</c:v>
                </c:pt>
                <c:pt idx="228">
                  <c:v>215.73</c:v>
                </c:pt>
                <c:pt idx="229">
                  <c:v>10949.7</c:v>
                </c:pt>
                <c:pt idx="230">
                  <c:v>844.19999999999993</c:v>
                </c:pt>
                <c:pt idx="231">
                  <c:v>731.04399999999998</c:v>
                </c:pt>
                <c:pt idx="232">
                  <c:v>6266.5609999999997</c:v>
                </c:pt>
                <c:pt idx="233">
                  <c:v>257.94000000000011</c:v>
                </c:pt>
                <c:pt idx="234">
                  <c:v>7644.0329999999994</c:v>
                </c:pt>
                <c:pt idx="235">
                  <c:v>205.75800000000001</c:v>
                </c:pt>
                <c:pt idx="236">
                  <c:v>6944.9589999999998</c:v>
                </c:pt>
                <c:pt idx="237">
                  <c:v>2640.24</c:v>
                </c:pt>
                <c:pt idx="238">
                  <c:v>2819.2860000000001</c:v>
                </c:pt>
                <c:pt idx="239">
                  <c:v>2831.895</c:v>
                </c:pt>
                <c:pt idx="240">
                  <c:v>651.67999999999995</c:v>
                </c:pt>
                <c:pt idx="241">
                  <c:v>5150.42</c:v>
                </c:pt>
                <c:pt idx="242">
                  <c:v>370.38600000000002</c:v>
                </c:pt>
                <c:pt idx="243">
                  <c:v>1657.37</c:v>
                </c:pt>
                <c:pt idx="244">
                  <c:v>2985.4549999999999</c:v>
                </c:pt>
                <c:pt idx="245">
                  <c:v>6944.3639999999996</c:v>
                </c:pt>
                <c:pt idx="246">
                  <c:v>236.03399999999999</c:v>
                </c:pt>
                <c:pt idx="247">
                  <c:v>3570.66</c:v>
                </c:pt>
                <c:pt idx="248">
                  <c:v>2944.962</c:v>
                </c:pt>
                <c:pt idx="249">
                  <c:v>1154.6489999999999</c:v>
                </c:pt>
                <c:pt idx="250">
                  <c:v>3383.0680000000002</c:v>
                </c:pt>
                <c:pt idx="251">
                  <c:v>4420.1190000000006</c:v>
                </c:pt>
                <c:pt idx="252">
                  <c:v>6072.66</c:v>
                </c:pt>
                <c:pt idx="253">
                  <c:v>369.79199999999997</c:v>
                </c:pt>
                <c:pt idx="254">
                  <c:v>1908.2</c:v>
                </c:pt>
                <c:pt idx="255">
                  <c:v>3377.58</c:v>
                </c:pt>
                <c:pt idx="256">
                  <c:v>365.8</c:v>
                </c:pt>
                <c:pt idx="257">
                  <c:v>1462.02</c:v>
                </c:pt>
                <c:pt idx="258">
                  <c:v>3766.1039999999998</c:v>
                </c:pt>
                <c:pt idx="259">
                  <c:v>299.04700000000003</c:v>
                </c:pt>
                <c:pt idx="260">
                  <c:v>636.803</c:v>
                </c:pt>
                <c:pt idx="261">
                  <c:v>2945.88</c:v>
                </c:pt>
                <c:pt idx="262">
                  <c:v>1072.2840000000001</c:v>
                </c:pt>
                <c:pt idx="263">
                  <c:v>1826.37</c:v>
                </c:pt>
                <c:pt idx="264">
                  <c:v>1291.1415</c:v>
                </c:pt>
                <c:pt idx="265">
                  <c:v>1054.348</c:v>
                </c:pt>
                <c:pt idx="266">
                  <c:v>686.10300000000007</c:v>
                </c:pt>
                <c:pt idx="267">
                  <c:v>6428.9159999999993</c:v>
                </c:pt>
                <c:pt idx="268">
                  <c:v>4846.2299999999996</c:v>
                </c:pt>
                <c:pt idx="269">
                  <c:v>6823.4400000000014</c:v>
                </c:pt>
                <c:pt idx="270">
                  <c:v>1061.106</c:v>
                </c:pt>
                <c:pt idx="271">
                  <c:v>7389.6450000000004</c:v>
                </c:pt>
                <c:pt idx="272">
                  <c:v>1848.155</c:v>
                </c:pt>
                <c:pt idx="273">
                  <c:v>6785.1374999999998</c:v>
                </c:pt>
                <c:pt idx="274">
                  <c:v>400.63499999999999</c:v>
                </c:pt>
                <c:pt idx="275">
                  <c:v>105.264</c:v>
                </c:pt>
                <c:pt idx="276">
                  <c:v>1918.404</c:v>
                </c:pt>
                <c:pt idx="277">
                  <c:v>2122.2719999999999</c:v>
                </c:pt>
                <c:pt idx="278">
                  <c:v>971.04</c:v>
                </c:pt>
                <c:pt idx="279">
                  <c:v>1007.3339999999999</c:v>
                </c:pt>
                <c:pt idx="280">
                  <c:v>837.57600000000002</c:v>
                </c:pt>
                <c:pt idx="281">
                  <c:v>1962.395</c:v>
                </c:pt>
                <c:pt idx="282">
                  <c:v>2105.7049999999999</c:v>
                </c:pt>
                <c:pt idx="283">
                  <c:v>6732.84</c:v>
                </c:pt>
                <c:pt idx="284">
                  <c:v>3337.335</c:v>
                </c:pt>
                <c:pt idx="285">
                  <c:v>4637.8620000000001</c:v>
                </c:pt>
                <c:pt idx="286">
                  <c:v>3195.24</c:v>
                </c:pt>
                <c:pt idx="287">
                  <c:v>4481.7440000000006</c:v>
                </c:pt>
                <c:pt idx="288">
                  <c:v>1020.6</c:v>
                </c:pt>
                <c:pt idx="289">
                  <c:v>3437.2044999999998</c:v>
                </c:pt>
                <c:pt idx="290">
                  <c:v>2894.6</c:v>
                </c:pt>
                <c:pt idx="291">
                  <c:v>1233.684</c:v>
                </c:pt>
                <c:pt idx="292">
                  <c:v>6258.36</c:v>
                </c:pt>
                <c:pt idx="293">
                  <c:v>7561.2684999999992</c:v>
                </c:pt>
                <c:pt idx="294">
                  <c:v>67.396500000000003</c:v>
                </c:pt>
                <c:pt idx="295">
                  <c:v>2657.61</c:v>
                </c:pt>
                <c:pt idx="296">
                  <c:v>2609.190000000001</c:v>
                </c:pt>
                <c:pt idx="297">
                  <c:v>405.46949999999998</c:v>
                </c:pt>
                <c:pt idx="298">
                  <c:v>5045.7824999999993</c:v>
                </c:pt>
                <c:pt idx="299">
                  <c:v>7171.4</c:v>
                </c:pt>
                <c:pt idx="300">
                  <c:v>504.33600000000001</c:v>
                </c:pt>
                <c:pt idx="301">
                  <c:v>248.8</c:v>
                </c:pt>
                <c:pt idx="302">
                  <c:v>191.80799999999999</c:v>
                </c:pt>
                <c:pt idx="303">
                  <c:v>4699.2079999999996</c:v>
                </c:pt>
                <c:pt idx="304">
                  <c:v>5600.4779999999992</c:v>
                </c:pt>
                <c:pt idx="305">
                  <c:v>2360.79</c:v>
                </c:pt>
                <c:pt idx="306">
                  <c:v>1436.16</c:v>
                </c:pt>
                <c:pt idx="307">
                  <c:v>5889.07</c:v>
                </c:pt>
                <c:pt idx="308">
                  <c:v>126.19799999999999</c:v>
                </c:pt>
                <c:pt idx="309">
                  <c:v>6065.02</c:v>
                </c:pt>
                <c:pt idx="310">
                  <c:v>8539.2000000000007</c:v>
                </c:pt>
                <c:pt idx="311">
                  <c:v>3233.9520000000002</c:v>
                </c:pt>
                <c:pt idx="312">
                  <c:v>8447.0959999999995</c:v>
                </c:pt>
                <c:pt idx="313">
                  <c:v>6398.7999999999993</c:v>
                </c:pt>
                <c:pt idx="314">
                  <c:v>404.5575</c:v>
                </c:pt>
                <c:pt idx="315">
                  <c:v>358.20699999999999</c:v>
                </c:pt>
                <c:pt idx="316">
                  <c:v>2478.357</c:v>
                </c:pt>
                <c:pt idx="317">
                  <c:v>1482.39</c:v>
                </c:pt>
                <c:pt idx="318">
                  <c:v>6056.64</c:v>
                </c:pt>
                <c:pt idx="319">
                  <c:v>186.96600000000001</c:v>
                </c:pt>
                <c:pt idx="320">
                  <c:v>4015.079999999999</c:v>
                </c:pt>
                <c:pt idx="321">
                  <c:v>2354.0335</c:v>
                </c:pt>
                <c:pt idx="322">
                  <c:v>153.30000000000001</c:v>
                </c:pt>
                <c:pt idx="323">
                  <c:v>6707.1120000000001</c:v>
                </c:pt>
                <c:pt idx="324">
                  <c:v>6631.9119999999994</c:v>
                </c:pt>
                <c:pt idx="325">
                  <c:v>1880.4014999999999</c:v>
                </c:pt>
                <c:pt idx="326">
                  <c:v>1322.6849999999999</c:v>
                </c:pt>
                <c:pt idx="327">
                  <c:v>1861.704</c:v>
                </c:pt>
                <c:pt idx="328">
                  <c:v>403.07850000000002</c:v>
                </c:pt>
                <c:pt idx="329">
                  <c:v>3521.3939999999998</c:v>
                </c:pt>
                <c:pt idx="330">
                  <c:v>1117.53</c:v>
                </c:pt>
                <c:pt idx="331">
                  <c:v>713.41200000000003</c:v>
                </c:pt>
                <c:pt idx="332">
                  <c:v>2469.402</c:v>
                </c:pt>
                <c:pt idx="333">
                  <c:v>622.09</c:v>
                </c:pt>
                <c:pt idx="334">
                  <c:v>1207.6400000000001</c:v>
                </c:pt>
                <c:pt idx="335">
                  <c:v>1945.575</c:v>
                </c:pt>
                <c:pt idx="336">
                  <c:v>10649.5</c:v>
                </c:pt>
                <c:pt idx="337">
                  <c:v>1497.375</c:v>
                </c:pt>
                <c:pt idx="338">
                  <c:v>552.93299999999999</c:v>
                </c:pt>
                <c:pt idx="339">
                  <c:v>9384.32</c:v>
                </c:pt>
                <c:pt idx="340">
                  <c:v>1677.28</c:v>
                </c:pt>
                <c:pt idx="341">
                  <c:v>8618.112000000001</c:v>
                </c:pt>
                <c:pt idx="342">
                  <c:v>2795.9639999999999</c:v>
                </c:pt>
                <c:pt idx="343">
                  <c:v>2833.4749999999999</c:v>
                </c:pt>
                <c:pt idx="344">
                  <c:v>2727.9360000000001</c:v>
                </c:pt>
                <c:pt idx="345">
                  <c:v>1928.88</c:v>
                </c:pt>
                <c:pt idx="346">
                  <c:v>649.08900000000006</c:v>
                </c:pt>
                <c:pt idx="347">
                  <c:v>965.78700000000003</c:v>
                </c:pt>
                <c:pt idx="348">
                  <c:v>408.15</c:v>
                </c:pt>
                <c:pt idx="349">
                  <c:v>729.26</c:v>
                </c:pt>
                <c:pt idx="350">
                  <c:v>3990.07</c:v>
                </c:pt>
                <c:pt idx="351">
                  <c:v>9998.3700000000008</c:v>
                </c:pt>
                <c:pt idx="352">
                  <c:v>2002.6679999999999</c:v>
                </c:pt>
                <c:pt idx="353">
                  <c:v>7665.4169999999986</c:v>
                </c:pt>
                <c:pt idx="354">
                  <c:v>8933.3639999999996</c:v>
                </c:pt>
                <c:pt idx="355">
                  <c:v>175.5</c:v>
                </c:pt>
                <c:pt idx="356">
                  <c:v>5722.7439999999997</c:v>
                </c:pt>
                <c:pt idx="357">
                  <c:v>6671.3399999999992</c:v>
                </c:pt>
                <c:pt idx="358">
                  <c:v>8133.4440000000004</c:v>
                </c:pt>
                <c:pt idx="359">
                  <c:v>2788.578</c:v>
                </c:pt>
                <c:pt idx="360">
                  <c:v>3591.3780000000002</c:v>
                </c:pt>
                <c:pt idx="361">
                  <c:v>26.22</c:v>
                </c:pt>
                <c:pt idx="362">
                  <c:v>6419.25</c:v>
                </c:pt>
                <c:pt idx="363">
                  <c:v>2417.94</c:v>
                </c:pt>
                <c:pt idx="364">
                  <c:v>2994.951</c:v>
                </c:pt>
                <c:pt idx="365">
                  <c:v>1723.5450000000001</c:v>
                </c:pt>
                <c:pt idx="366">
                  <c:v>8265.57</c:v>
                </c:pt>
                <c:pt idx="367">
                  <c:v>2112.268</c:v>
                </c:pt>
                <c:pt idx="368">
                  <c:v>2888.76</c:v>
                </c:pt>
                <c:pt idx="369">
                  <c:v>1414.8</c:v>
                </c:pt>
                <c:pt idx="370">
                  <c:v>447.75</c:v>
                </c:pt>
                <c:pt idx="371">
                  <c:v>2675.1239999999998</c:v>
                </c:pt>
                <c:pt idx="372">
                  <c:v>1692.32</c:v>
                </c:pt>
                <c:pt idx="373">
                  <c:v>3409.8</c:v>
                </c:pt>
                <c:pt idx="374">
                  <c:v>1481.7329999999999</c:v>
                </c:pt>
                <c:pt idx="375">
                  <c:v>156.20400000000001</c:v>
                </c:pt>
                <c:pt idx="376">
                  <c:v>2324.5075000000002</c:v>
                </c:pt>
                <c:pt idx="377">
                  <c:v>2206.2600000000002</c:v>
                </c:pt>
                <c:pt idx="378">
                  <c:v>401.92599999999999</c:v>
                </c:pt>
                <c:pt idx="379">
                  <c:v>5455.7929999999997</c:v>
                </c:pt>
                <c:pt idx="380">
                  <c:v>2147.355</c:v>
                </c:pt>
                <c:pt idx="381">
                  <c:v>234.95400000000001</c:v>
                </c:pt>
                <c:pt idx="382">
                  <c:v>70.224000000000004</c:v>
                </c:pt>
                <c:pt idx="383">
                  <c:v>502.88400000000001</c:v>
                </c:pt>
                <c:pt idx="384">
                  <c:v>1683.18</c:v>
                </c:pt>
                <c:pt idx="385">
                  <c:v>7294.2899999999991</c:v>
                </c:pt>
                <c:pt idx="386">
                  <c:v>3259.7</c:v>
                </c:pt>
                <c:pt idx="387">
                  <c:v>7978.44</c:v>
                </c:pt>
                <c:pt idx="388">
                  <c:v>2426.9699999999998</c:v>
                </c:pt>
                <c:pt idx="389">
                  <c:v>526.83199999999988</c:v>
                </c:pt>
                <c:pt idx="390">
                  <c:v>2372.1120000000001</c:v>
                </c:pt>
                <c:pt idx="391">
                  <c:v>264.48</c:v>
                </c:pt>
                <c:pt idx="392">
                  <c:v>608.74450000000002</c:v>
                </c:pt>
                <c:pt idx="393">
                  <c:v>2277.5155</c:v>
                </c:pt>
                <c:pt idx="394">
                  <c:v>6442.253999999999</c:v>
                </c:pt>
                <c:pt idx="395">
                  <c:v>2697.42</c:v>
                </c:pt>
                <c:pt idx="396">
                  <c:v>2007.09</c:v>
                </c:pt>
                <c:pt idx="397">
                  <c:v>3473.7289999999998</c:v>
                </c:pt>
                <c:pt idx="398">
                  <c:v>1181.18</c:v>
                </c:pt>
                <c:pt idx="399">
                  <c:v>436.2</c:v>
                </c:pt>
                <c:pt idx="400">
                  <c:v>2947.2</c:v>
                </c:pt>
                <c:pt idx="401">
                  <c:v>5700.45</c:v>
                </c:pt>
                <c:pt idx="402">
                  <c:v>1190.1030000000001</c:v>
                </c:pt>
                <c:pt idx="403">
                  <c:v>5510.1674999999996</c:v>
                </c:pt>
                <c:pt idx="404">
                  <c:v>6221.7090000000007</c:v>
                </c:pt>
                <c:pt idx="405">
                  <c:v>5470.9264999999996</c:v>
                </c:pt>
                <c:pt idx="406">
                  <c:v>7377.5</c:v>
                </c:pt>
                <c:pt idx="407">
                  <c:v>7042.7999999999993</c:v>
                </c:pt>
                <c:pt idx="408">
                  <c:v>336.67649999999998</c:v>
                </c:pt>
                <c:pt idx="409">
                  <c:v>2231.3220000000001</c:v>
                </c:pt>
                <c:pt idx="410">
                  <c:v>1752.02</c:v>
                </c:pt>
                <c:pt idx="411">
                  <c:v>5221.9749999999995</c:v>
                </c:pt>
                <c:pt idx="412">
                  <c:v>596.15599999999995</c:v>
                </c:pt>
                <c:pt idx="413">
                  <c:v>9095.8700000000008</c:v>
                </c:pt>
                <c:pt idx="414">
                  <c:v>1552.865</c:v>
                </c:pt>
                <c:pt idx="415">
                  <c:v>3377.3049999999998</c:v>
                </c:pt>
                <c:pt idx="416">
                  <c:v>3687.453</c:v>
                </c:pt>
                <c:pt idx="417">
                  <c:v>1397.4</c:v>
                </c:pt>
                <c:pt idx="418">
                  <c:v>2459.0880000000002</c:v>
                </c:pt>
                <c:pt idx="419">
                  <c:v>6.9699999999999989</c:v>
                </c:pt>
                <c:pt idx="420">
                  <c:v>4598.424</c:v>
                </c:pt>
                <c:pt idx="421">
                  <c:v>2180.52</c:v>
                </c:pt>
                <c:pt idx="422">
                  <c:v>8514.4699999999993</c:v>
                </c:pt>
                <c:pt idx="423">
                  <c:v>56.231999999999999</c:v>
                </c:pt>
                <c:pt idx="424">
                  <c:v>3091.7559999999999</c:v>
                </c:pt>
                <c:pt idx="425">
                  <c:v>1042.0999999999999</c:v>
                </c:pt>
                <c:pt idx="426">
                  <c:v>2360.6965</c:v>
                </c:pt>
                <c:pt idx="427">
                  <c:v>8175.4400000000014</c:v>
                </c:pt>
                <c:pt idx="428">
                  <c:v>2607.5520000000001</c:v>
                </c:pt>
                <c:pt idx="429">
                  <c:v>3319.52</c:v>
                </c:pt>
                <c:pt idx="430">
                  <c:v>7075.52</c:v>
                </c:pt>
                <c:pt idx="431">
                  <c:v>7501.9139999999998</c:v>
                </c:pt>
                <c:pt idx="432">
                  <c:v>894.03000000000009</c:v>
                </c:pt>
                <c:pt idx="433">
                  <c:v>1901.5605</c:v>
                </c:pt>
                <c:pt idx="434">
                  <c:v>6461.8274999999994</c:v>
                </c:pt>
                <c:pt idx="435">
                  <c:v>8689.9920000000002</c:v>
                </c:pt>
                <c:pt idx="436">
                  <c:v>3005.44</c:v>
                </c:pt>
                <c:pt idx="437">
                  <c:v>6522.39</c:v>
                </c:pt>
                <c:pt idx="438">
                  <c:v>448.51499999999999</c:v>
                </c:pt>
                <c:pt idx="439">
                  <c:v>6962.2460000000001</c:v>
                </c:pt>
                <c:pt idx="440">
                  <c:v>146.79900000000001</c:v>
                </c:pt>
                <c:pt idx="441">
                  <c:v>2405.8739999999998</c:v>
                </c:pt>
                <c:pt idx="442">
                  <c:v>5205.3065000000006</c:v>
                </c:pt>
                <c:pt idx="443">
                  <c:v>1355.5619999999999</c:v>
                </c:pt>
                <c:pt idx="444">
                  <c:v>6451.8120000000008</c:v>
                </c:pt>
                <c:pt idx="445">
                  <c:v>2105.2800000000002</c:v>
                </c:pt>
                <c:pt idx="446">
                  <c:v>7219.9</c:v>
                </c:pt>
                <c:pt idx="447">
                  <c:v>2580.768</c:v>
                </c:pt>
                <c:pt idx="448">
                  <c:v>1783.92</c:v>
                </c:pt>
                <c:pt idx="449">
                  <c:v>6261.848</c:v>
                </c:pt>
                <c:pt idx="450">
                  <c:v>1588.2574999999999</c:v>
                </c:pt>
                <c:pt idx="451">
                  <c:v>1529.2860000000001</c:v>
                </c:pt>
                <c:pt idx="452">
                  <c:v>4288.24</c:v>
                </c:pt>
                <c:pt idx="453">
                  <c:v>4412.9250000000002</c:v>
                </c:pt>
                <c:pt idx="454">
                  <c:v>1481.652</c:v>
                </c:pt>
                <c:pt idx="455">
                  <c:v>475.47899999999998</c:v>
                </c:pt>
                <c:pt idx="456">
                  <c:v>1024.48</c:v>
                </c:pt>
                <c:pt idx="457">
                  <c:v>2215.2195000000002</c:v>
                </c:pt>
                <c:pt idx="458">
                  <c:v>9331.85</c:v>
                </c:pt>
                <c:pt idx="459">
                  <c:v>1801.7</c:v>
                </c:pt>
                <c:pt idx="460">
                  <c:v>5342.4000000000005</c:v>
                </c:pt>
                <c:pt idx="461">
                  <c:v>1618.434</c:v>
                </c:pt>
                <c:pt idx="462">
                  <c:v>374.33</c:v>
                </c:pt>
                <c:pt idx="463">
                  <c:v>6506.24</c:v>
                </c:pt>
                <c:pt idx="464">
                  <c:v>2579.7199999999998</c:v>
                </c:pt>
                <c:pt idx="465">
                  <c:v>4610.3999999999996</c:v>
                </c:pt>
                <c:pt idx="466">
                  <c:v>1616.6659999999999</c:v>
                </c:pt>
                <c:pt idx="467">
                  <c:v>1096.038</c:v>
                </c:pt>
                <c:pt idx="468">
                  <c:v>2434.14</c:v>
                </c:pt>
                <c:pt idx="469">
                  <c:v>6771.5999999999995</c:v>
                </c:pt>
                <c:pt idx="470">
                  <c:v>839.952</c:v>
                </c:pt>
                <c:pt idx="471">
                  <c:v>11077</c:v>
                </c:pt>
                <c:pt idx="472">
                  <c:v>949.68900000000008</c:v>
                </c:pt>
                <c:pt idx="473">
                  <c:v>1065.02</c:v>
                </c:pt>
                <c:pt idx="474">
                  <c:v>241.37100000000001</c:v>
                </c:pt>
                <c:pt idx="475">
                  <c:v>6251.7924999999996</c:v>
                </c:pt>
                <c:pt idx="476">
                  <c:v>1550.3040000000001</c:v>
                </c:pt>
                <c:pt idx="477">
                  <c:v>6545.3760000000002</c:v>
                </c:pt>
                <c:pt idx="478">
                  <c:v>4332.3609999999999</c:v>
                </c:pt>
                <c:pt idx="479">
                  <c:v>2858.5709999999999</c:v>
                </c:pt>
                <c:pt idx="480">
                  <c:v>1138.1400000000001</c:v>
                </c:pt>
                <c:pt idx="481">
                  <c:v>875.14</c:v>
                </c:pt>
                <c:pt idx="482">
                  <c:v>6977.5599999999986</c:v>
                </c:pt>
                <c:pt idx="483">
                  <c:v>3456.96</c:v>
                </c:pt>
                <c:pt idx="484">
                  <c:v>35.991</c:v>
                </c:pt>
                <c:pt idx="485">
                  <c:v>1377.09</c:v>
                </c:pt>
                <c:pt idx="486">
                  <c:v>10531</c:v>
                </c:pt>
                <c:pt idx="487">
                  <c:v>3550.701</c:v>
                </c:pt>
                <c:pt idx="488">
                  <c:v>779.875</c:v>
                </c:pt>
                <c:pt idx="489">
                  <c:v>184.41</c:v>
                </c:pt>
                <c:pt idx="490">
                  <c:v>800.44199999999989</c:v>
                </c:pt>
                <c:pt idx="491">
                  <c:v>4628.5304999999998</c:v>
                </c:pt>
                <c:pt idx="492">
                  <c:v>1409.04</c:v>
                </c:pt>
                <c:pt idx="493">
                  <c:v>3744.4724999999989</c:v>
                </c:pt>
                <c:pt idx="494">
                  <c:v>630.32599999999991</c:v>
                </c:pt>
                <c:pt idx="495">
                  <c:v>1188.432</c:v>
                </c:pt>
                <c:pt idx="496">
                  <c:v>1726.38</c:v>
                </c:pt>
                <c:pt idx="497">
                  <c:v>2243.748</c:v>
                </c:pt>
                <c:pt idx="498">
                  <c:v>464.57600000000002</c:v>
                </c:pt>
                <c:pt idx="499">
                  <c:v>517.37400000000002</c:v>
                </c:pt>
                <c:pt idx="500">
                  <c:v>5175.8625000000002</c:v>
                </c:pt>
                <c:pt idx="501">
                  <c:v>430.61</c:v>
                </c:pt>
                <c:pt idx="502">
                  <c:v>2540.25</c:v>
                </c:pt>
                <c:pt idx="503">
                  <c:v>5778.8185000000003</c:v>
                </c:pt>
                <c:pt idx="504">
                  <c:v>3981.8249999999998</c:v>
                </c:pt>
                <c:pt idx="505">
                  <c:v>2965.7339999999999</c:v>
                </c:pt>
                <c:pt idx="506">
                  <c:v>6825.1684999999998</c:v>
                </c:pt>
                <c:pt idx="507">
                  <c:v>5371.47</c:v>
                </c:pt>
                <c:pt idx="508">
                  <c:v>2079.54</c:v>
                </c:pt>
                <c:pt idx="509">
                  <c:v>8107.1280000000006</c:v>
                </c:pt>
                <c:pt idx="510">
                  <c:v>1910.85</c:v>
                </c:pt>
                <c:pt idx="511">
                  <c:v>932.12700000000007</c:v>
                </c:pt>
                <c:pt idx="512">
                  <c:v>1148.0525</c:v>
                </c:pt>
                <c:pt idx="513">
                  <c:v>816.255</c:v>
                </c:pt>
                <c:pt idx="514">
                  <c:v>6719.2739999999994</c:v>
                </c:pt>
                <c:pt idx="515">
                  <c:v>982.4</c:v>
                </c:pt>
                <c:pt idx="516">
                  <c:v>1297.32</c:v>
                </c:pt>
                <c:pt idx="517">
                  <c:v>578.55250000000001</c:v>
                </c:pt>
                <c:pt idx="518">
                  <c:v>2201.085</c:v>
                </c:pt>
                <c:pt idx="519">
                  <c:v>1657.44</c:v>
                </c:pt>
                <c:pt idx="520">
                  <c:v>705.12599999999998</c:v>
                </c:pt>
                <c:pt idx="521">
                  <c:v>5558.2979999999998</c:v>
                </c:pt>
                <c:pt idx="522">
                  <c:v>8118.7</c:v>
                </c:pt>
                <c:pt idx="523">
                  <c:v>8009.311999999999</c:v>
                </c:pt>
                <c:pt idx="524">
                  <c:v>2319.0300000000002</c:v>
                </c:pt>
                <c:pt idx="525">
                  <c:v>404.6</c:v>
                </c:pt>
                <c:pt idx="526">
                  <c:v>1836.38</c:v>
                </c:pt>
                <c:pt idx="527">
                  <c:v>639.15750000000003</c:v>
                </c:pt>
                <c:pt idx="528">
                  <c:v>5436.1184999999996</c:v>
                </c:pt>
                <c:pt idx="529">
                  <c:v>193.977</c:v>
                </c:pt>
                <c:pt idx="530">
                  <c:v>477.36</c:v>
                </c:pt>
                <c:pt idx="531">
                  <c:v>2634.32</c:v>
                </c:pt>
                <c:pt idx="532">
                  <c:v>5006.9844999999987</c:v>
                </c:pt>
                <c:pt idx="533">
                  <c:v>2261.6035000000002</c:v>
                </c:pt>
                <c:pt idx="534">
                  <c:v>750.33</c:v>
                </c:pt>
                <c:pt idx="535">
                  <c:v>6321.84</c:v>
                </c:pt>
                <c:pt idx="536">
                  <c:v>10351.799999999999</c:v>
                </c:pt>
                <c:pt idx="537">
                  <c:v>2343.7440000000001</c:v>
                </c:pt>
                <c:pt idx="538">
                  <c:v>1869.9659999999999</c:v>
                </c:pt>
                <c:pt idx="539">
                  <c:v>952.47</c:v>
                </c:pt>
                <c:pt idx="540">
                  <c:v>4990.32</c:v>
                </c:pt>
                <c:pt idx="541">
                  <c:v>1278.2639999999999</c:v>
                </c:pt>
                <c:pt idx="542">
                  <c:v>6792.94</c:v>
                </c:pt>
                <c:pt idx="543">
                  <c:v>3184.3620000000001</c:v>
                </c:pt>
                <c:pt idx="544">
                  <c:v>983.71</c:v>
                </c:pt>
                <c:pt idx="545">
                  <c:v>4661.5275000000001</c:v>
                </c:pt>
                <c:pt idx="546">
                  <c:v>6017.4900000000007</c:v>
                </c:pt>
                <c:pt idx="547">
                  <c:v>4106.34</c:v>
                </c:pt>
                <c:pt idx="548">
                  <c:v>3377.8150000000001</c:v>
                </c:pt>
                <c:pt idx="549">
                  <c:v>196.7</c:v>
                </c:pt>
                <c:pt idx="550">
                  <c:v>3490.02</c:v>
                </c:pt>
                <c:pt idx="551">
                  <c:v>548.90049999999997</c:v>
                </c:pt>
                <c:pt idx="552">
                  <c:v>4978.6650000000009</c:v>
                </c:pt>
                <c:pt idx="553">
                  <c:v>190.60400000000001</c:v>
                </c:pt>
                <c:pt idx="554">
                  <c:v>109.55</c:v>
                </c:pt>
                <c:pt idx="555">
                  <c:v>3427.65</c:v>
                </c:pt>
                <c:pt idx="556">
                  <c:v>6459.31</c:v>
                </c:pt>
                <c:pt idx="557">
                  <c:v>8480.0249999999996</c:v>
                </c:pt>
                <c:pt idx="558">
                  <c:v>1046.0864999999999</c:v>
                </c:pt>
                <c:pt idx="559">
                  <c:v>496.15</c:v>
                </c:pt>
                <c:pt idx="560">
                  <c:v>4528.62</c:v>
                </c:pt>
                <c:pt idx="561">
                  <c:v>2244.2294999999999</c:v>
                </c:pt>
                <c:pt idx="562">
                  <c:v>1807.5505000000001</c:v>
                </c:pt>
                <c:pt idx="563">
                  <c:v>4483.75</c:v>
                </c:pt>
                <c:pt idx="564">
                  <c:v>647.71199999999999</c:v>
                </c:pt>
                <c:pt idx="565">
                  <c:v>528</c:v>
                </c:pt>
                <c:pt idx="566">
                  <c:v>1535.086</c:v>
                </c:pt>
                <c:pt idx="567">
                  <c:v>309.45600000000002</c:v>
                </c:pt>
                <c:pt idx="568">
                  <c:v>168.28200000000001</c:v>
                </c:pt>
                <c:pt idx="569">
                  <c:v>1507.8305</c:v>
                </c:pt>
                <c:pt idx="570">
                  <c:v>9958.14</c:v>
                </c:pt>
                <c:pt idx="571">
                  <c:v>1951.9649999999999</c:v>
                </c:pt>
                <c:pt idx="572">
                  <c:v>1486.422</c:v>
                </c:pt>
                <c:pt idx="573">
                  <c:v>6281.84</c:v>
                </c:pt>
                <c:pt idx="574">
                  <c:v>1136.72</c:v>
                </c:pt>
                <c:pt idx="575">
                  <c:v>1268.9055000000001</c:v>
                </c:pt>
                <c:pt idx="576">
                  <c:v>180.12</c:v>
                </c:pt>
                <c:pt idx="577">
                  <c:v>375.83600000000001</c:v>
                </c:pt>
                <c:pt idx="578">
                  <c:v>419.09249999999997</c:v>
                </c:pt>
                <c:pt idx="579">
                  <c:v>3396.33</c:v>
                </c:pt>
                <c:pt idx="580">
                  <c:v>837.25850000000003</c:v>
                </c:pt>
                <c:pt idx="581">
                  <c:v>1385.28</c:v>
                </c:pt>
                <c:pt idx="582">
                  <c:v>84.5</c:v>
                </c:pt>
                <c:pt idx="583">
                  <c:v>566.32000000000005</c:v>
                </c:pt>
                <c:pt idx="584">
                  <c:v>8945.9100000000017</c:v>
                </c:pt>
                <c:pt idx="585">
                  <c:v>79.117999999999995</c:v>
                </c:pt>
                <c:pt idx="586">
                  <c:v>1984.1849999999999</c:v>
                </c:pt>
                <c:pt idx="587">
                  <c:v>2784.5</c:v>
                </c:pt>
                <c:pt idx="588">
                  <c:v>5083.1269999999986</c:v>
                </c:pt>
                <c:pt idx="589">
                  <c:v>3092.1170000000002</c:v>
                </c:pt>
                <c:pt idx="590">
                  <c:v>216.89449999999999</c:v>
                </c:pt>
                <c:pt idx="591">
                  <c:v>307.33449999999999</c:v>
                </c:pt>
                <c:pt idx="592">
                  <c:v>461.88049999999998</c:v>
                </c:pt>
                <c:pt idx="593">
                  <c:v>1520.019</c:v>
                </c:pt>
                <c:pt idx="594">
                  <c:v>812.16000000000008</c:v>
                </c:pt>
                <c:pt idx="595">
                  <c:v>832.13349999999991</c:v>
                </c:pt>
                <c:pt idx="596">
                  <c:v>3034.2</c:v>
                </c:pt>
                <c:pt idx="597">
                  <c:v>2848.1</c:v>
                </c:pt>
                <c:pt idx="598">
                  <c:v>1639.8425</c:v>
                </c:pt>
                <c:pt idx="599">
                  <c:v>564.12900000000002</c:v>
                </c:pt>
                <c:pt idx="600">
                  <c:v>11.141999999999999</c:v>
                </c:pt>
                <c:pt idx="601">
                  <c:v>3172.454999999999</c:v>
                </c:pt>
                <c:pt idx="602">
                  <c:v>376.35</c:v>
                </c:pt>
                <c:pt idx="603">
                  <c:v>367.60500000000008</c:v>
                </c:pt>
                <c:pt idx="604">
                  <c:v>2450.9699999999998</c:v>
                </c:pt>
                <c:pt idx="605">
                  <c:v>3820.92</c:v>
                </c:pt>
                <c:pt idx="606">
                  <c:v>5328.9900000000007</c:v>
                </c:pt>
                <c:pt idx="607">
                  <c:v>355.6825</c:v>
                </c:pt>
                <c:pt idx="608">
                  <c:v>3029.4</c:v>
                </c:pt>
                <c:pt idx="609">
                  <c:v>8229.76</c:v>
                </c:pt>
                <c:pt idx="610">
                  <c:v>534.96</c:v>
                </c:pt>
                <c:pt idx="611">
                  <c:v>2780</c:v>
                </c:pt>
                <c:pt idx="612">
                  <c:v>4198.8239999999996</c:v>
                </c:pt>
                <c:pt idx="613">
                  <c:v>1088.9280000000001</c:v>
                </c:pt>
                <c:pt idx="614">
                  <c:v>6936.0069999999996</c:v>
                </c:pt>
                <c:pt idx="615">
                  <c:v>1798.05</c:v>
                </c:pt>
                <c:pt idx="616">
                  <c:v>1472.37</c:v>
                </c:pt>
                <c:pt idx="617">
                  <c:v>6081.8519999999999</c:v>
                </c:pt>
                <c:pt idx="618">
                  <c:v>7250.3239999999996</c:v>
                </c:pt>
                <c:pt idx="619">
                  <c:v>1467.44</c:v>
                </c:pt>
                <c:pt idx="620">
                  <c:v>1887.4079999999999</c:v>
                </c:pt>
                <c:pt idx="621">
                  <c:v>1528.2149999999999</c:v>
                </c:pt>
                <c:pt idx="622">
                  <c:v>1153.6199999999999</c:v>
                </c:pt>
                <c:pt idx="623">
                  <c:v>3106.9845</c:v>
                </c:pt>
                <c:pt idx="624">
                  <c:v>5444.4539999999997</c:v>
                </c:pt>
                <c:pt idx="625">
                  <c:v>2073.924</c:v>
                </c:pt>
                <c:pt idx="626">
                  <c:v>10084.4</c:v>
                </c:pt>
                <c:pt idx="627">
                  <c:v>1220.058</c:v>
                </c:pt>
                <c:pt idx="628">
                  <c:v>731.24099999999999</c:v>
                </c:pt>
                <c:pt idx="629">
                  <c:v>1117.44</c:v>
                </c:pt>
                <c:pt idx="630">
                  <c:v>4730.7259999999997</c:v>
                </c:pt>
                <c:pt idx="631">
                  <c:v>212.364</c:v>
                </c:pt>
                <c:pt idx="632">
                  <c:v>3024.5039999999999</c:v>
                </c:pt>
                <c:pt idx="633">
                  <c:v>1091.8800000000001</c:v>
                </c:pt>
                <c:pt idx="634">
                  <c:v>1419.8130000000001</c:v>
                </c:pt>
                <c:pt idx="635">
                  <c:v>7200.9000000000005</c:v>
                </c:pt>
                <c:pt idx="636">
                  <c:v>124.3265</c:v>
                </c:pt>
                <c:pt idx="637">
                  <c:v>1244.298</c:v>
                </c:pt>
                <c:pt idx="638">
                  <c:v>5249.5559999999996</c:v>
                </c:pt>
                <c:pt idx="639">
                  <c:v>688.36999999999989</c:v>
                </c:pt>
                <c:pt idx="640">
                  <c:v>1592.78</c:v>
                </c:pt>
                <c:pt idx="641">
                  <c:v>179.2</c:v>
                </c:pt>
                <c:pt idx="642">
                  <c:v>999.39599999999996</c:v>
                </c:pt>
                <c:pt idx="643">
                  <c:v>3770.37</c:v>
                </c:pt>
                <c:pt idx="644">
                  <c:v>3637.08</c:v>
                </c:pt>
                <c:pt idx="645">
                  <c:v>1889.55</c:v>
                </c:pt>
                <c:pt idx="646">
                  <c:v>2042.136</c:v>
                </c:pt>
                <c:pt idx="647">
                  <c:v>115.66800000000001</c:v>
                </c:pt>
                <c:pt idx="648">
                  <c:v>3850.578</c:v>
                </c:pt>
                <c:pt idx="649">
                  <c:v>7103.0399999999991</c:v>
                </c:pt>
                <c:pt idx="650">
                  <c:v>619.97950000000003</c:v>
                </c:pt>
                <c:pt idx="651">
                  <c:v>4480.6499999999996</c:v>
                </c:pt>
                <c:pt idx="652">
                  <c:v>667.71749999999997</c:v>
                </c:pt>
                <c:pt idx="653">
                  <c:v>562.62599999999998</c:v>
                </c:pt>
                <c:pt idx="654">
                  <c:v>3747.483999999999</c:v>
                </c:pt>
                <c:pt idx="655">
                  <c:v>1749.48</c:v>
                </c:pt>
                <c:pt idx="656">
                  <c:v>103.13</c:v>
                </c:pt>
                <c:pt idx="657">
                  <c:v>514.80499999999995</c:v>
                </c:pt>
                <c:pt idx="658">
                  <c:v>3000.5909999999999</c:v>
                </c:pt>
                <c:pt idx="659">
                  <c:v>645.91450000000009</c:v>
                </c:pt>
                <c:pt idx="660">
                  <c:v>2557.08</c:v>
                </c:pt>
                <c:pt idx="661">
                  <c:v>1186.4159999999999</c:v>
                </c:pt>
                <c:pt idx="662">
                  <c:v>4838.4639999999999</c:v>
                </c:pt>
                <c:pt idx="663">
                  <c:v>3415.6484999999998</c:v>
                </c:pt>
                <c:pt idx="664">
                  <c:v>3727.0079999999998</c:v>
                </c:pt>
                <c:pt idx="665">
                  <c:v>2331.4140000000002</c:v>
                </c:pt>
                <c:pt idx="666">
                  <c:v>5265.24</c:v>
                </c:pt>
                <c:pt idx="667">
                  <c:v>4817.34</c:v>
                </c:pt>
                <c:pt idx="668">
                  <c:v>660.85799999999995</c:v>
                </c:pt>
                <c:pt idx="669">
                  <c:v>5239.82</c:v>
                </c:pt>
                <c:pt idx="670">
                  <c:v>3071.16</c:v>
                </c:pt>
                <c:pt idx="671">
                  <c:v>324.02850000000001</c:v>
                </c:pt>
                <c:pt idx="672">
                  <c:v>162.47749999999999</c:v>
                </c:pt>
                <c:pt idx="673">
                  <c:v>1581.02</c:v>
                </c:pt>
                <c:pt idx="674">
                  <c:v>4164.9519999999993</c:v>
                </c:pt>
                <c:pt idx="675">
                  <c:v>8298.6299999999992</c:v>
                </c:pt>
                <c:pt idx="676">
                  <c:v>7084.701</c:v>
                </c:pt>
                <c:pt idx="677">
                  <c:v>385.47199999999998</c:v>
                </c:pt>
                <c:pt idx="678">
                  <c:v>1203.107</c:v>
                </c:pt>
                <c:pt idx="679">
                  <c:v>881.44999999999993</c:v>
                </c:pt>
                <c:pt idx="680">
                  <c:v>1396.614</c:v>
                </c:pt>
                <c:pt idx="681">
                  <c:v>2076.9155000000001</c:v>
                </c:pt>
                <c:pt idx="682">
                  <c:v>1638.72</c:v>
                </c:pt>
                <c:pt idx="683">
                  <c:v>1610.91</c:v>
                </c:pt>
                <c:pt idx="684">
                  <c:v>7465.6350000000002</c:v>
                </c:pt>
                <c:pt idx="685">
                  <c:v>5126.76</c:v>
                </c:pt>
                <c:pt idx="686">
                  <c:v>8015.2109999999993</c:v>
                </c:pt>
                <c:pt idx="687">
                  <c:v>626.75099999999998</c:v>
                </c:pt>
                <c:pt idx="688">
                  <c:v>2743.596</c:v>
                </c:pt>
                <c:pt idx="689">
                  <c:v>336.89749999999998</c:v>
                </c:pt>
                <c:pt idx="690">
                  <c:v>1659.7439999999999</c:v>
                </c:pt>
                <c:pt idx="691">
                  <c:v>1347.03</c:v>
                </c:pt>
                <c:pt idx="692">
                  <c:v>506.41</c:v>
                </c:pt>
                <c:pt idx="693">
                  <c:v>1764.09</c:v>
                </c:pt>
                <c:pt idx="694">
                  <c:v>4361.01</c:v>
                </c:pt>
                <c:pt idx="695">
                  <c:v>4230.9960000000001</c:v>
                </c:pt>
                <c:pt idx="696">
                  <c:v>2500.5329999999999</c:v>
                </c:pt>
                <c:pt idx="697">
                  <c:v>2463.8850000000002</c:v>
                </c:pt>
                <c:pt idx="698">
                  <c:v>4186.5599999999986</c:v>
                </c:pt>
                <c:pt idx="699">
                  <c:v>7290.45</c:v>
                </c:pt>
                <c:pt idx="700">
                  <c:v>1893.171</c:v>
                </c:pt>
                <c:pt idx="701">
                  <c:v>1772.6579999999999</c:v>
                </c:pt>
                <c:pt idx="702">
                  <c:v>5716.75</c:v>
                </c:pt>
                <c:pt idx="703">
                  <c:v>2269.4265</c:v>
                </c:pt>
                <c:pt idx="704">
                  <c:v>3135.0239999999999</c:v>
                </c:pt>
                <c:pt idx="705">
                  <c:v>532.20000000000005</c:v>
                </c:pt>
                <c:pt idx="706">
                  <c:v>479.38</c:v>
                </c:pt>
                <c:pt idx="707">
                  <c:v>286.488</c:v>
                </c:pt>
                <c:pt idx="708">
                  <c:v>3536.28</c:v>
                </c:pt>
                <c:pt idx="709">
                  <c:v>3164.58</c:v>
                </c:pt>
                <c:pt idx="710">
                  <c:v>6513.5839999999998</c:v>
                </c:pt>
                <c:pt idx="711">
                  <c:v>6765.1399999999994</c:v>
                </c:pt>
                <c:pt idx="712">
                  <c:v>3884.2109999999998</c:v>
                </c:pt>
                <c:pt idx="713">
                  <c:v>190.02600000000001</c:v>
                </c:pt>
                <c:pt idx="714">
                  <c:v>529.68600000000004</c:v>
                </c:pt>
                <c:pt idx="715">
                  <c:v>271.56650000000002</c:v>
                </c:pt>
                <c:pt idx="716">
                  <c:v>3244.6680000000001</c:v>
                </c:pt>
                <c:pt idx="717">
                  <c:v>261.79199999999997</c:v>
                </c:pt>
                <c:pt idx="718">
                  <c:v>1749.4</c:v>
                </c:pt>
                <c:pt idx="719">
                  <c:v>7123.6800000000012</c:v>
                </c:pt>
                <c:pt idx="720">
                  <c:v>4511.9870000000001</c:v>
                </c:pt>
                <c:pt idx="721">
                  <c:v>6158.5920000000006</c:v>
                </c:pt>
                <c:pt idx="722">
                  <c:v>3803.3550000000009</c:v>
                </c:pt>
                <c:pt idx="723">
                  <c:v>2775</c:v>
                </c:pt>
                <c:pt idx="724">
                  <c:v>6512.0219999999999</c:v>
                </c:pt>
                <c:pt idx="725">
                  <c:v>1512.558</c:v>
                </c:pt>
                <c:pt idx="726">
                  <c:v>3928.7534999999989</c:v>
                </c:pt>
                <c:pt idx="727">
                  <c:v>155.61000000000001</c:v>
                </c:pt>
                <c:pt idx="728">
                  <c:v>3746.7809999999999</c:v>
                </c:pt>
                <c:pt idx="729">
                  <c:v>382.09500000000003</c:v>
                </c:pt>
                <c:pt idx="730">
                  <c:v>2029.2929999999999</c:v>
                </c:pt>
                <c:pt idx="731">
                  <c:v>417.52800000000002</c:v>
                </c:pt>
                <c:pt idx="732">
                  <c:v>3086.392499999999</c:v>
                </c:pt>
                <c:pt idx="733">
                  <c:v>91.238</c:v>
                </c:pt>
                <c:pt idx="734">
                  <c:v>480.85199999999998</c:v>
                </c:pt>
                <c:pt idx="735">
                  <c:v>250.2825</c:v>
                </c:pt>
                <c:pt idx="736">
                  <c:v>705.09</c:v>
                </c:pt>
                <c:pt idx="737">
                  <c:v>1449.0360000000001</c:v>
                </c:pt>
                <c:pt idx="738">
                  <c:v>2010.3140000000001</c:v>
                </c:pt>
                <c:pt idx="739">
                  <c:v>203.90799999999999</c:v>
                </c:pt>
                <c:pt idx="740">
                  <c:v>475.91199999999998</c:v>
                </c:pt>
                <c:pt idx="741">
                  <c:v>8878.9470000000001</c:v>
                </c:pt>
                <c:pt idx="742">
                  <c:v>166.7535</c:v>
                </c:pt>
                <c:pt idx="743">
                  <c:v>7712.4240000000009</c:v>
                </c:pt>
                <c:pt idx="744">
                  <c:v>7133.71</c:v>
                </c:pt>
                <c:pt idx="745">
                  <c:v>507.98399999999998</c:v>
                </c:pt>
                <c:pt idx="746">
                  <c:v>596.12</c:v>
                </c:pt>
                <c:pt idx="747">
                  <c:v>1642.1795</c:v>
                </c:pt>
                <c:pt idx="748">
                  <c:v>6001.1280000000006</c:v>
                </c:pt>
                <c:pt idx="749">
                  <c:v>4482.1759999999986</c:v>
                </c:pt>
                <c:pt idx="750">
                  <c:v>9625.8845000000001</c:v>
                </c:pt>
                <c:pt idx="751">
                  <c:v>1094.4000000000001</c:v>
                </c:pt>
                <c:pt idx="752">
                  <c:v>3809.0250000000001</c:v>
                </c:pt>
                <c:pt idx="753">
                  <c:v>2484.8389999999999</c:v>
                </c:pt>
                <c:pt idx="754">
                  <c:v>2116.1770000000001</c:v>
                </c:pt>
                <c:pt idx="755">
                  <c:v>2811.348</c:v>
                </c:pt>
                <c:pt idx="756">
                  <c:v>3153.415</c:v>
                </c:pt>
                <c:pt idx="757">
                  <c:v>987.69600000000003</c:v>
                </c:pt>
                <c:pt idx="758">
                  <c:v>2748.24</c:v>
                </c:pt>
                <c:pt idx="759">
                  <c:v>5467.3190000000004</c:v>
                </c:pt>
                <c:pt idx="760">
                  <c:v>296.62200000000001</c:v>
                </c:pt>
                <c:pt idx="761">
                  <c:v>3026.8</c:v>
                </c:pt>
                <c:pt idx="762">
                  <c:v>1347.9455</c:v>
                </c:pt>
                <c:pt idx="763">
                  <c:v>1712.0785000000001</c:v>
                </c:pt>
                <c:pt idx="764">
                  <c:v>2904.5774999999999</c:v>
                </c:pt>
                <c:pt idx="765">
                  <c:v>7369.2640000000001</c:v>
                </c:pt>
                <c:pt idx="766">
                  <c:v>332.31</c:v>
                </c:pt>
                <c:pt idx="767">
                  <c:v>79.647999999999996</c:v>
                </c:pt>
                <c:pt idx="768">
                  <c:v>2262.1590000000001</c:v>
                </c:pt>
                <c:pt idx="769">
                  <c:v>3414.0149999999999</c:v>
                </c:pt>
                <c:pt idx="770">
                  <c:v>4912</c:v>
                </c:pt>
                <c:pt idx="771">
                  <c:v>268.54050000000001</c:v>
                </c:pt>
                <c:pt idx="772">
                  <c:v>2984.85</c:v>
                </c:pt>
                <c:pt idx="773">
                  <c:v>6088.2269999999999</c:v>
                </c:pt>
                <c:pt idx="774">
                  <c:v>1126.6559999999999</c:v>
                </c:pt>
                <c:pt idx="775">
                  <c:v>2154.7399999999998</c:v>
                </c:pt>
                <c:pt idx="776">
                  <c:v>4723.6279999999997</c:v>
                </c:pt>
                <c:pt idx="777">
                  <c:v>1692.27</c:v>
                </c:pt>
                <c:pt idx="778">
                  <c:v>3441.5565000000001</c:v>
                </c:pt>
                <c:pt idx="779">
                  <c:v>4056.389999999999</c:v>
                </c:pt>
                <c:pt idx="780">
                  <c:v>744.048</c:v>
                </c:pt>
                <c:pt idx="781">
                  <c:v>9124.07</c:v>
                </c:pt>
                <c:pt idx="782">
                  <c:v>980.49499999999989</c:v>
                </c:pt>
                <c:pt idx="783">
                  <c:v>873.22199999999987</c:v>
                </c:pt>
                <c:pt idx="784">
                  <c:v>247.04</c:v>
                </c:pt>
                <c:pt idx="785">
                  <c:v>1487.6189999999999</c:v>
                </c:pt>
                <c:pt idx="786">
                  <c:v>3772.2489999999989</c:v>
                </c:pt>
                <c:pt idx="787">
                  <c:v>4312.5344999999998</c:v>
                </c:pt>
                <c:pt idx="788">
                  <c:v>543.82999999999993</c:v>
                </c:pt>
                <c:pt idx="789">
                  <c:v>6248.6</c:v>
                </c:pt>
                <c:pt idx="790">
                  <c:v>254.505</c:v>
                </c:pt>
                <c:pt idx="791">
                  <c:v>4309.3044999999993</c:v>
                </c:pt>
                <c:pt idx="792">
                  <c:v>4714.09</c:v>
                </c:pt>
                <c:pt idx="793">
                  <c:v>1504.61</c:v>
                </c:pt>
                <c:pt idx="794">
                  <c:v>305.31599999999997</c:v>
                </c:pt>
                <c:pt idx="795">
                  <c:v>571.38700000000006</c:v>
                </c:pt>
                <c:pt idx="796">
                  <c:v>713.01600000000008</c:v>
                </c:pt>
                <c:pt idx="797">
                  <c:v>584.63</c:v>
                </c:pt>
                <c:pt idx="798">
                  <c:v>1073.924</c:v>
                </c:pt>
                <c:pt idx="799">
                  <c:v>723.10199999999998</c:v>
                </c:pt>
                <c:pt idx="800">
                  <c:v>3420.7125000000001</c:v>
                </c:pt>
                <c:pt idx="801">
                  <c:v>101.601</c:v>
                </c:pt>
                <c:pt idx="802">
                  <c:v>4599.2700000000004</c:v>
                </c:pt>
                <c:pt idx="803">
                  <c:v>712.81</c:v>
                </c:pt>
                <c:pt idx="804">
                  <c:v>1100.7</c:v>
                </c:pt>
                <c:pt idx="805">
                  <c:v>1473.798</c:v>
                </c:pt>
                <c:pt idx="806">
                  <c:v>4511.3999999999996</c:v>
                </c:pt>
                <c:pt idx="807">
                  <c:v>8145.28</c:v>
                </c:pt>
                <c:pt idx="808">
                  <c:v>2214.3739999999998</c:v>
                </c:pt>
                <c:pt idx="809">
                  <c:v>1037.1600000000001</c:v>
                </c:pt>
                <c:pt idx="810">
                  <c:v>7124.670000000001</c:v>
                </c:pt>
                <c:pt idx="811">
                  <c:v>1336.94</c:v>
                </c:pt>
                <c:pt idx="812">
                  <c:v>1297.2149999999999</c:v>
                </c:pt>
                <c:pt idx="813">
                  <c:v>2336.2779999999998</c:v>
                </c:pt>
                <c:pt idx="814">
                  <c:v>1248.2145</c:v>
                </c:pt>
                <c:pt idx="815">
                  <c:v>4198.2179999999998</c:v>
                </c:pt>
                <c:pt idx="816">
                  <c:v>163.29</c:v>
                </c:pt>
                <c:pt idx="817">
                  <c:v>2557.9699999999998</c:v>
                </c:pt>
                <c:pt idx="818">
                  <c:v>2533.9050000000002</c:v>
                </c:pt>
                <c:pt idx="819">
                  <c:v>1828.386</c:v>
                </c:pt>
                <c:pt idx="820">
                  <c:v>3581.1</c:v>
                </c:pt>
                <c:pt idx="821">
                  <c:v>5395.8850000000002</c:v>
                </c:pt>
                <c:pt idx="822">
                  <c:v>450.9</c:v>
                </c:pt>
                <c:pt idx="823">
                  <c:v>8955.1749999999993</c:v>
                </c:pt>
                <c:pt idx="824">
                  <c:v>1642.34</c:v>
                </c:pt>
                <c:pt idx="825">
                  <c:v>581.93999999999994</c:v>
                </c:pt>
                <c:pt idx="826">
                  <c:v>7350.34</c:v>
                </c:pt>
                <c:pt idx="827">
                  <c:v>975.96</c:v>
                </c:pt>
                <c:pt idx="828">
                  <c:v>2340.2624999999998</c:v>
                </c:pt>
                <c:pt idx="829">
                  <c:v>1800.8579999999999</c:v>
                </c:pt>
                <c:pt idx="830">
                  <c:v>479.17999999999989</c:v>
                </c:pt>
                <c:pt idx="831">
                  <c:v>874.08</c:v>
                </c:pt>
                <c:pt idx="832">
                  <c:v>1907.655</c:v>
                </c:pt>
                <c:pt idx="833">
                  <c:v>4199.16</c:v>
                </c:pt>
                <c:pt idx="834">
                  <c:v>1524.424</c:v>
                </c:pt>
                <c:pt idx="835">
                  <c:v>1867.8330000000001</c:v>
                </c:pt>
                <c:pt idx="836">
                  <c:v>3285.251999999999</c:v>
                </c:pt>
                <c:pt idx="837">
                  <c:v>849.9319999999999</c:v>
                </c:pt>
                <c:pt idx="838">
                  <c:v>2312.2890000000002</c:v>
                </c:pt>
                <c:pt idx="839">
                  <c:v>346.45</c:v>
                </c:pt>
                <c:pt idx="840">
                  <c:v>4603.6500000000005</c:v>
                </c:pt>
                <c:pt idx="841">
                  <c:v>1327.02</c:v>
                </c:pt>
                <c:pt idx="842">
                  <c:v>432.81</c:v>
                </c:pt>
                <c:pt idx="843">
                  <c:v>554.07799999999997</c:v>
                </c:pt>
                <c:pt idx="844">
                  <c:v>2139.6280000000002</c:v>
                </c:pt>
                <c:pt idx="845">
                  <c:v>2832.6675</c:v>
                </c:pt>
                <c:pt idx="846">
                  <c:v>2592.873</c:v>
                </c:pt>
                <c:pt idx="847">
                  <c:v>3369.672</c:v>
                </c:pt>
                <c:pt idx="848">
                  <c:v>7578.3874999999998</c:v>
                </c:pt>
                <c:pt idx="849">
                  <c:v>7523.9279999999999</c:v>
                </c:pt>
                <c:pt idx="850">
                  <c:v>8398.1234999999997</c:v>
                </c:pt>
                <c:pt idx="851">
                  <c:v>6186.24</c:v>
                </c:pt>
                <c:pt idx="852">
                  <c:v>6284.3829999999989</c:v>
                </c:pt>
                <c:pt idx="853">
                  <c:v>2565.36</c:v>
                </c:pt>
                <c:pt idx="854">
                  <c:v>29.849</c:v>
                </c:pt>
                <c:pt idx="855">
                  <c:v>8269.5905000000002</c:v>
                </c:pt>
                <c:pt idx="856">
                  <c:v>5404.3200000000006</c:v>
                </c:pt>
                <c:pt idx="857">
                  <c:v>695.15549999999996</c:v>
                </c:pt>
                <c:pt idx="858">
                  <c:v>5032.4445000000014</c:v>
                </c:pt>
                <c:pt idx="859">
                  <c:v>2621.0880000000002</c:v>
                </c:pt>
                <c:pt idx="860">
                  <c:v>2817.3164999999999</c:v>
                </c:pt>
                <c:pt idx="861">
                  <c:v>1838.05</c:v>
                </c:pt>
                <c:pt idx="862">
                  <c:v>9294.3249999999989</c:v>
                </c:pt>
                <c:pt idx="863">
                  <c:v>585.09749999999985</c:v>
                </c:pt>
                <c:pt idx="864">
                  <c:v>1174.8900000000001</c:v>
                </c:pt>
                <c:pt idx="865">
                  <c:v>909.22499999999991</c:v>
                </c:pt>
                <c:pt idx="866">
                  <c:v>2314.6860000000001</c:v>
                </c:pt>
                <c:pt idx="867">
                  <c:v>10216.299999999999</c:v>
                </c:pt>
                <c:pt idx="868">
                  <c:v>154.66</c:v>
                </c:pt>
                <c:pt idx="869">
                  <c:v>393.4</c:v>
                </c:pt>
                <c:pt idx="870">
                  <c:v>3990.06</c:v>
                </c:pt>
                <c:pt idx="871">
                  <c:v>1855.992</c:v>
                </c:pt>
                <c:pt idx="872">
                  <c:v>81.778500000000008</c:v>
                </c:pt>
                <c:pt idx="873">
                  <c:v>509.10750000000002</c:v>
                </c:pt>
                <c:pt idx="874">
                  <c:v>2227.8584999999998</c:v>
                </c:pt>
                <c:pt idx="875">
                  <c:v>203.74</c:v>
                </c:pt>
                <c:pt idx="876">
                  <c:v>4241.6074999999992</c:v>
                </c:pt>
                <c:pt idx="877">
                  <c:v>2161.65</c:v>
                </c:pt>
                <c:pt idx="878">
                  <c:v>6176.3040000000001</c:v>
                </c:pt>
                <c:pt idx="879">
                  <c:v>4366.7820000000002</c:v>
                </c:pt>
                <c:pt idx="880">
                  <c:v>2749.53</c:v>
                </c:pt>
                <c:pt idx="881">
                  <c:v>1076.616</c:v>
                </c:pt>
                <c:pt idx="882">
                  <c:v>4938.66</c:v>
                </c:pt>
                <c:pt idx="883">
                  <c:v>177.57</c:v>
                </c:pt>
                <c:pt idx="884">
                  <c:v>4424.34</c:v>
                </c:pt>
                <c:pt idx="885">
                  <c:v>1061.3969999999999</c:v>
                </c:pt>
                <c:pt idx="886">
                  <c:v>5530.14</c:v>
                </c:pt>
                <c:pt idx="887">
                  <c:v>2440.0529999999999</c:v>
                </c:pt>
                <c:pt idx="888">
                  <c:v>152.75</c:v>
                </c:pt>
                <c:pt idx="889">
                  <c:v>521.85599999999999</c:v>
                </c:pt>
                <c:pt idx="890">
                  <c:v>698.72400000000005</c:v>
                </c:pt>
                <c:pt idx="891">
                  <c:v>454.005</c:v>
                </c:pt>
                <c:pt idx="892">
                  <c:v>1092.1320000000001</c:v>
                </c:pt>
                <c:pt idx="893">
                  <c:v>7804.2240000000011</c:v>
                </c:pt>
                <c:pt idx="894">
                  <c:v>290.99</c:v>
                </c:pt>
                <c:pt idx="895">
                  <c:v>2961.2640000000001</c:v>
                </c:pt>
                <c:pt idx="896">
                  <c:v>287.55</c:v>
                </c:pt>
                <c:pt idx="897">
                  <c:v>3960.09</c:v>
                </c:pt>
                <c:pt idx="898">
                  <c:v>3314.1959999999999</c:v>
                </c:pt>
                <c:pt idx="899">
                  <c:v>4138.3950000000004</c:v>
                </c:pt>
                <c:pt idx="900">
                  <c:v>4113.2245000000003</c:v>
                </c:pt>
                <c:pt idx="901">
                  <c:v>1073.7280000000001</c:v>
                </c:pt>
                <c:pt idx="902">
                  <c:v>2515.422</c:v>
                </c:pt>
                <c:pt idx="903">
                  <c:v>5832.2969999999996</c:v>
                </c:pt>
                <c:pt idx="904">
                  <c:v>6166.45</c:v>
                </c:pt>
                <c:pt idx="905">
                  <c:v>4335.4080000000004</c:v>
                </c:pt>
                <c:pt idx="906">
                  <c:v>3708.639999999999</c:v>
                </c:pt>
                <c:pt idx="907">
                  <c:v>270.60000000000002</c:v>
                </c:pt>
                <c:pt idx="908">
                  <c:v>5449.84</c:v>
                </c:pt>
                <c:pt idx="909">
                  <c:v>2819.4839999999999</c:v>
                </c:pt>
                <c:pt idx="910">
                  <c:v>1358.5039999999999</c:v>
                </c:pt>
                <c:pt idx="911">
                  <c:v>448.37099999999998</c:v>
                </c:pt>
                <c:pt idx="912">
                  <c:v>6088.4459999999999</c:v>
                </c:pt>
                <c:pt idx="913">
                  <c:v>2346.48</c:v>
                </c:pt>
                <c:pt idx="914">
                  <c:v>6473.9739999999993</c:v>
                </c:pt>
                <c:pt idx="915">
                  <c:v>5018.6220000000003</c:v>
                </c:pt>
                <c:pt idx="916">
                  <c:v>2947.01</c:v>
                </c:pt>
                <c:pt idx="917">
                  <c:v>4212.7560000000003</c:v>
                </c:pt>
                <c:pt idx="918">
                  <c:v>3511.105</c:v>
                </c:pt>
                <c:pt idx="919">
                  <c:v>5125.2000000000007</c:v>
                </c:pt>
                <c:pt idx="920">
                  <c:v>1982.97</c:v>
                </c:pt>
                <c:pt idx="921">
                  <c:v>257.72000000000003</c:v>
                </c:pt>
                <c:pt idx="922">
                  <c:v>2073.7199999999998</c:v>
                </c:pt>
                <c:pt idx="923">
                  <c:v>3270.299</c:v>
                </c:pt>
                <c:pt idx="924">
                  <c:v>561.93449999999996</c:v>
                </c:pt>
                <c:pt idx="925">
                  <c:v>467.17200000000003</c:v>
                </c:pt>
                <c:pt idx="926">
                  <c:v>179.34</c:v>
                </c:pt>
                <c:pt idx="927">
                  <c:v>2285.9279999999999</c:v>
                </c:pt>
                <c:pt idx="928">
                  <c:v>864.12950000000001</c:v>
                </c:pt>
                <c:pt idx="929">
                  <c:v>2761.4789999999998</c:v>
                </c:pt>
                <c:pt idx="930">
                  <c:v>1523.403</c:v>
                </c:pt>
                <c:pt idx="931">
                  <c:v>1189.932</c:v>
                </c:pt>
                <c:pt idx="932">
                  <c:v>4042.7819999999988</c:v>
                </c:pt>
                <c:pt idx="933">
                  <c:v>10028.978999999999</c:v>
                </c:pt>
                <c:pt idx="934">
                  <c:v>5901.3374999999996</c:v>
                </c:pt>
                <c:pt idx="935">
                  <c:v>167.36150000000001</c:v>
                </c:pt>
                <c:pt idx="936">
                  <c:v>64.116</c:v>
                </c:pt>
                <c:pt idx="937">
                  <c:v>374.58</c:v>
                </c:pt>
                <c:pt idx="938">
                  <c:v>3590.3069999999998</c:v>
                </c:pt>
                <c:pt idx="939">
                  <c:v>161.785</c:v>
                </c:pt>
                <c:pt idx="940">
                  <c:v>7689.7800000000007</c:v>
                </c:pt>
                <c:pt idx="941">
                  <c:v>242.244</c:v>
                </c:pt>
                <c:pt idx="942">
                  <c:v>6537.1859999999997</c:v>
                </c:pt>
                <c:pt idx="943">
                  <c:v>389.94</c:v>
                </c:pt>
                <c:pt idx="944">
                  <c:v>1959.7739999999999</c:v>
                </c:pt>
                <c:pt idx="945">
                  <c:v>8654.4619999999995</c:v>
                </c:pt>
                <c:pt idx="946">
                  <c:v>2828.6819999999998</c:v>
                </c:pt>
                <c:pt idx="947">
                  <c:v>964.2</c:v>
                </c:pt>
                <c:pt idx="948">
                  <c:v>6188.5620000000008</c:v>
                </c:pt>
                <c:pt idx="949">
                  <c:v>1767.74</c:v>
                </c:pt>
                <c:pt idx="950">
                  <c:v>5062.8599999999997</c:v>
                </c:pt>
                <c:pt idx="951">
                  <c:v>3056.88</c:v>
                </c:pt>
                <c:pt idx="952">
                  <c:v>1410.27</c:v>
                </c:pt>
                <c:pt idx="953">
                  <c:v>2808</c:v>
                </c:pt>
                <c:pt idx="954">
                  <c:v>2036.5830000000001</c:v>
                </c:pt>
                <c:pt idx="955">
                  <c:v>1388.152</c:v>
                </c:pt>
                <c:pt idx="956">
                  <c:v>46.631</c:v>
                </c:pt>
                <c:pt idx="957">
                  <c:v>3185.0279999999998</c:v>
                </c:pt>
                <c:pt idx="958">
                  <c:v>838.43999999999994</c:v>
                </c:pt>
                <c:pt idx="959">
                  <c:v>1170.8399999999999</c:v>
                </c:pt>
                <c:pt idx="960">
                  <c:v>1932.645</c:v>
                </c:pt>
                <c:pt idx="961">
                  <c:v>3017.7359999999999</c:v>
                </c:pt>
                <c:pt idx="962">
                  <c:v>1403.52</c:v>
                </c:pt>
                <c:pt idx="963">
                  <c:v>3204.828</c:v>
                </c:pt>
                <c:pt idx="964">
                  <c:v>1624.8705</c:v>
                </c:pt>
                <c:pt idx="965">
                  <c:v>5404</c:v>
                </c:pt>
                <c:pt idx="966">
                  <c:v>6508.08</c:v>
                </c:pt>
                <c:pt idx="967">
                  <c:v>4271.9489999999996</c:v>
                </c:pt>
                <c:pt idx="968">
                  <c:v>1513.8</c:v>
                </c:pt>
                <c:pt idx="969">
                  <c:v>6553.48</c:v>
                </c:pt>
                <c:pt idx="970">
                  <c:v>3222.1979999999999</c:v>
                </c:pt>
                <c:pt idx="971">
                  <c:v>896.07</c:v>
                </c:pt>
                <c:pt idx="972">
                  <c:v>1074.5360000000001</c:v>
                </c:pt>
                <c:pt idx="973">
                  <c:v>965.12399999999991</c:v>
                </c:pt>
                <c:pt idx="974">
                  <c:v>7769.1360000000004</c:v>
                </c:pt>
                <c:pt idx="975">
                  <c:v>1451.7360000000001</c:v>
                </c:pt>
                <c:pt idx="976">
                  <c:v>2818.5</c:v>
                </c:pt>
                <c:pt idx="977">
                  <c:v>5110.4295000000002</c:v>
                </c:pt>
                <c:pt idx="978">
                  <c:v>3119.7240000000002</c:v>
                </c:pt>
                <c:pt idx="979">
                  <c:v>2191.2064999999998</c:v>
                </c:pt>
                <c:pt idx="980">
                  <c:v>10745.6</c:v>
                </c:pt>
                <c:pt idx="981">
                  <c:v>309.27</c:v>
                </c:pt>
                <c:pt idx="982">
                  <c:v>878.04</c:v>
                </c:pt>
                <c:pt idx="983">
                  <c:v>2879.375</c:v>
                </c:pt>
                <c:pt idx="984">
                  <c:v>478.08</c:v>
                </c:pt>
                <c:pt idx="985">
                  <c:v>4566.7439999999997</c:v>
                </c:pt>
                <c:pt idx="986">
                  <c:v>3306.78</c:v>
                </c:pt>
                <c:pt idx="987">
                  <c:v>73.853999999999999</c:v>
                </c:pt>
                <c:pt idx="988">
                  <c:v>2965.837</c:v>
                </c:pt>
                <c:pt idx="989">
                  <c:v>456.13799999999998</c:v>
                </c:pt>
                <c:pt idx="990">
                  <c:v>2074.6080000000002</c:v>
                </c:pt>
                <c:pt idx="991">
                  <c:v>1880.1914999999999</c:v>
                </c:pt>
                <c:pt idx="992">
                  <c:v>5795.9550000000008</c:v>
                </c:pt>
                <c:pt idx="993">
                  <c:v>1346.31</c:v>
                </c:pt>
                <c:pt idx="994">
                  <c:v>1659.87</c:v>
                </c:pt>
                <c:pt idx="995">
                  <c:v>9505.6</c:v>
                </c:pt>
                <c:pt idx="996">
                  <c:v>8243.3970000000008</c:v>
                </c:pt>
                <c:pt idx="997">
                  <c:v>1433.55</c:v>
                </c:pt>
                <c:pt idx="998">
                  <c:v>889.59600000000012</c:v>
                </c:pt>
                <c:pt idx="999">
                  <c:v>1607.6849999999999</c:v>
                </c:pt>
                <c:pt idx="1000">
                  <c:v>364.68</c:v>
                </c:pt>
                <c:pt idx="1001">
                  <c:v>5591.28</c:v>
                </c:pt>
                <c:pt idx="1002">
                  <c:v>1915.56</c:v>
                </c:pt>
                <c:pt idx="1003">
                  <c:v>477.10500000000002</c:v>
                </c:pt>
                <c:pt idx="1004">
                  <c:v>1060.6469999999999</c:v>
                </c:pt>
                <c:pt idx="1005">
                  <c:v>9398.11</c:v>
                </c:pt>
                <c:pt idx="1006">
                  <c:v>916.5</c:v>
                </c:pt>
                <c:pt idx="1007">
                  <c:v>245.917</c:v>
                </c:pt>
                <c:pt idx="1008">
                  <c:v>7664.3909999999996</c:v>
                </c:pt>
                <c:pt idx="1009">
                  <c:v>6695.2960000000003</c:v>
                </c:pt>
                <c:pt idx="1010">
                  <c:v>2100.96</c:v>
                </c:pt>
                <c:pt idx="1011">
                  <c:v>1686.2850000000001</c:v>
                </c:pt>
                <c:pt idx="1012">
                  <c:v>3167.1</c:v>
                </c:pt>
                <c:pt idx="1013">
                  <c:v>2327.31</c:v>
                </c:pt>
                <c:pt idx="1014">
                  <c:v>231.88</c:v>
                </c:pt>
                <c:pt idx="1015">
                  <c:v>6981.1699999999992</c:v>
                </c:pt>
                <c:pt idx="1016">
                  <c:v>1036.44</c:v>
                </c:pt>
                <c:pt idx="1017">
                  <c:v>1038.3119999999999</c:v>
                </c:pt>
                <c:pt idx="1018">
                  <c:v>3513.72</c:v>
                </c:pt>
                <c:pt idx="1019">
                  <c:v>2347.87</c:v>
                </c:pt>
                <c:pt idx="1020">
                  <c:v>2249.5</c:v>
                </c:pt>
                <c:pt idx="1021">
                  <c:v>515.49849999999992</c:v>
                </c:pt>
                <c:pt idx="1022">
                  <c:v>184.08600000000001</c:v>
                </c:pt>
                <c:pt idx="1023">
                  <c:v>3566.43</c:v>
                </c:pt>
                <c:pt idx="1024">
                  <c:v>522.88599999999997</c:v>
                </c:pt>
                <c:pt idx="1025">
                  <c:v>2572.752</c:v>
                </c:pt>
                <c:pt idx="1026">
                  <c:v>922.64</c:v>
                </c:pt>
                <c:pt idx="1027">
                  <c:v>1642.36</c:v>
                </c:pt>
                <c:pt idx="1028">
                  <c:v>27.871500000000001</c:v>
                </c:pt>
                <c:pt idx="1029">
                  <c:v>3003.2</c:v>
                </c:pt>
                <c:pt idx="1030">
                  <c:v>354.96900000000011</c:v>
                </c:pt>
                <c:pt idx="1031">
                  <c:v>2730.4380000000001</c:v>
                </c:pt>
                <c:pt idx="1032">
                  <c:v>7361.1509999999998</c:v>
                </c:pt>
                <c:pt idx="1033">
                  <c:v>1836.616</c:v>
                </c:pt>
                <c:pt idx="1034">
                  <c:v>249.03899999999999</c:v>
                </c:pt>
                <c:pt idx="1035">
                  <c:v>425.75200000000001</c:v>
                </c:pt>
                <c:pt idx="1036">
                  <c:v>3992.7359999999999</c:v>
                </c:pt>
                <c:pt idx="1037">
                  <c:v>756.58949999999993</c:v>
                </c:pt>
                <c:pt idx="1038">
                  <c:v>2642.9</c:v>
                </c:pt>
                <c:pt idx="1039">
                  <c:v>5512.1850000000004</c:v>
                </c:pt>
                <c:pt idx="1040">
                  <c:v>4817.5200000000004</c:v>
                </c:pt>
                <c:pt idx="1041">
                  <c:v>6649.6</c:v>
                </c:pt>
                <c:pt idx="1042">
                  <c:v>123.4</c:v>
                </c:pt>
                <c:pt idx="1043">
                  <c:v>251.541</c:v>
                </c:pt>
                <c:pt idx="1044">
                  <c:v>590.96699999999998</c:v>
                </c:pt>
                <c:pt idx="1045">
                  <c:v>2486.9955</c:v>
                </c:pt>
                <c:pt idx="1046">
                  <c:v>2064.65</c:v>
                </c:pt>
                <c:pt idx="1047">
                  <c:v>2766.96</c:v>
                </c:pt>
                <c:pt idx="1048">
                  <c:v>359.4325</c:v>
                </c:pt>
                <c:pt idx="1049">
                  <c:v>461.35</c:v>
                </c:pt>
                <c:pt idx="1050">
                  <c:v>7098</c:v>
                </c:pt>
                <c:pt idx="1051">
                  <c:v>2761.9830000000002</c:v>
                </c:pt>
                <c:pt idx="1052">
                  <c:v>7216.58</c:v>
                </c:pt>
                <c:pt idx="1053">
                  <c:v>644.81400000000008</c:v>
                </c:pt>
                <c:pt idx="1054">
                  <c:v>4783.5360000000001</c:v>
                </c:pt>
                <c:pt idx="1055">
                  <c:v>3886.83</c:v>
                </c:pt>
                <c:pt idx="1056">
                  <c:v>3081.078</c:v>
                </c:pt>
                <c:pt idx="1057">
                  <c:v>1753.703</c:v>
                </c:pt>
                <c:pt idx="1058">
                  <c:v>2505.6640000000002</c:v>
                </c:pt>
                <c:pt idx="1059">
                  <c:v>8726.4</c:v>
                </c:pt>
                <c:pt idx="1060">
                  <c:v>7076.6459999999997</c:v>
                </c:pt>
                <c:pt idx="1061">
                  <c:v>622.38299999999992</c:v>
                </c:pt>
                <c:pt idx="1062">
                  <c:v>2854.3319999999999</c:v>
                </c:pt>
                <c:pt idx="1063">
                  <c:v>3784.788</c:v>
                </c:pt>
                <c:pt idx="1064">
                  <c:v>1161.45</c:v>
                </c:pt>
                <c:pt idx="1065">
                  <c:v>173.44</c:v>
                </c:pt>
                <c:pt idx="1066">
                  <c:v>1959.471</c:v>
                </c:pt>
                <c:pt idx="1067">
                  <c:v>4705.26</c:v>
                </c:pt>
                <c:pt idx="1068">
                  <c:v>183.42599999999999</c:v>
                </c:pt>
                <c:pt idx="1069">
                  <c:v>891.96450000000004</c:v>
                </c:pt>
                <c:pt idx="1070">
                  <c:v>1220.598</c:v>
                </c:pt>
                <c:pt idx="1071">
                  <c:v>215.28</c:v>
                </c:pt>
                <c:pt idx="1072">
                  <c:v>3762</c:v>
                </c:pt>
                <c:pt idx="1073">
                  <c:v>80.959999999999994</c:v>
                </c:pt>
                <c:pt idx="1074">
                  <c:v>716.04</c:v>
                </c:pt>
                <c:pt idx="1075">
                  <c:v>1099.95</c:v>
                </c:pt>
                <c:pt idx="1076">
                  <c:v>10163.48</c:v>
                </c:pt>
                <c:pt idx="1077">
                  <c:v>494.52</c:v>
                </c:pt>
                <c:pt idx="1078">
                  <c:v>1861.2180000000001</c:v>
                </c:pt>
                <c:pt idx="1079">
                  <c:v>4989.2280000000001</c:v>
                </c:pt>
                <c:pt idx="1080">
                  <c:v>4381.5330000000004</c:v>
                </c:pt>
                <c:pt idx="1081">
                  <c:v>1695.92</c:v>
                </c:pt>
                <c:pt idx="1082">
                  <c:v>7253.3159999999998</c:v>
                </c:pt>
                <c:pt idx="1083">
                  <c:v>900.25200000000007</c:v>
                </c:pt>
                <c:pt idx="1084">
                  <c:v>2768.2620000000002</c:v>
                </c:pt>
                <c:pt idx="1085">
                  <c:v>1019.592</c:v>
                </c:pt>
                <c:pt idx="1086">
                  <c:v>1743.8489999999999</c:v>
                </c:pt>
                <c:pt idx="1087">
                  <c:v>8502.4620000000014</c:v>
                </c:pt>
                <c:pt idx="1088">
                  <c:v>4294.4654999999993</c:v>
                </c:pt>
                <c:pt idx="1089">
                  <c:v>1002.2670000000001</c:v>
                </c:pt>
                <c:pt idx="1090">
                  <c:v>4430.1660000000002</c:v>
                </c:pt>
                <c:pt idx="1091">
                  <c:v>6143.76</c:v>
                </c:pt>
                <c:pt idx="1092">
                  <c:v>1681.329</c:v>
                </c:pt>
                <c:pt idx="1093">
                  <c:v>1335.18</c:v>
                </c:pt>
                <c:pt idx="1094">
                  <c:v>8261.6939999999995</c:v>
                </c:pt>
                <c:pt idx="1095">
                  <c:v>1613.1959999999999</c:v>
                </c:pt>
                <c:pt idx="1096">
                  <c:v>1747.77</c:v>
                </c:pt>
                <c:pt idx="1097">
                  <c:v>7035.4719999999998</c:v>
                </c:pt>
                <c:pt idx="1098">
                  <c:v>8608.4599999999991</c:v>
                </c:pt>
                <c:pt idx="1099">
                  <c:v>486.59</c:v>
                </c:pt>
                <c:pt idx="1100">
                  <c:v>1776.31</c:v>
                </c:pt>
                <c:pt idx="1101">
                  <c:v>1194.25</c:v>
                </c:pt>
                <c:pt idx="1102">
                  <c:v>462.8</c:v>
                </c:pt>
                <c:pt idx="1103">
                  <c:v>4128.2460000000001</c:v>
                </c:pt>
                <c:pt idx="1104">
                  <c:v>8573.76</c:v>
                </c:pt>
                <c:pt idx="1105">
                  <c:v>1424.115</c:v>
                </c:pt>
                <c:pt idx="1106">
                  <c:v>1165.068</c:v>
                </c:pt>
                <c:pt idx="1107">
                  <c:v>568.4799999999999</c:v>
                </c:pt>
                <c:pt idx="1108">
                  <c:v>377.08200000000011</c:v>
                </c:pt>
                <c:pt idx="1109">
                  <c:v>1300.2</c:v>
                </c:pt>
                <c:pt idx="1110">
                  <c:v>1282.0999999999999</c:v>
                </c:pt>
                <c:pt idx="1111">
                  <c:v>7846.7039999999997</c:v>
                </c:pt>
                <c:pt idx="1112">
                  <c:v>2154.98</c:v>
                </c:pt>
                <c:pt idx="1113">
                  <c:v>4704.5700000000006</c:v>
                </c:pt>
                <c:pt idx="1114">
                  <c:v>6854.8589999999986</c:v>
                </c:pt>
                <c:pt idx="1115">
                  <c:v>2971.267499999999</c:v>
                </c:pt>
                <c:pt idx="1116">
                  <c:v>4956.5879999999997</c:v>
                </c:pt>
                <c:pt idx="1117">
                  <c:v>2347.105</c:v>
                </c:pt>
                <c:pt idx="1118">
                  <c:v>163.899</c:v>
                </c:pt>
                <c:pt idx="1119">
                  <c:v>3101.2939999999999</c:v>
                </c:pt>
                <c:pt idx="1120">
                  <c:v>1897.29</c:v>
                </c:pt>
                <c:pt idx="1121">
                  <c:v>6651.4795000000004</c:v>
                </c:pt>
                <c:pt idx="1122">
                  <c:v>664.35</c:v>
                </c:pt>
                <c:pt idx="1123">
                  <c:v>2392.404</c:v>
                </c:pt>
                <c:pt idx="1124">
                  <c:v>253.935</c:v>
                </c:pt>
                <c:pt idx="1125">
                  <c:v>3686.21</c:v>
                </c:pt>
                <c:pt idx="1126">
                  <c:v>2219.44</c:v>
                </c:pt>
                <c:pt idx="1127">
                  <c:v>1640.0039999999999</c:v>
                </c:pt>
                <c:pt idx="1128">
                  <c:v>6112.8130000000001</c:v>
                </c:pt>
                <c:pt idx="1129">
                  <c:v>3570.57</c:v>
                </c:pt>
                <c:pt idx="1130">
                  <c:v>10328.6</c:v>
                </c:pt>
                <c:pt idx="1131">
                  <c:v>269.69400000000002</c:v>
                </c:pt>
                <c:pt idx="1132">
                  <c:v>380.64</c:v>
                </c:pt>
                <c:pt idx="1133">
                  <c:v>9505.5670000000009</c:v>
                </c:pt>
                <c:pt idx="1134">
                  <c:v>2011.1849999999999</c:v>
                </c:pt>
                <c:pt idx="1135">
                  <c:v>2504.52</c:v>
                </c:pt>
                <c:pt idx="1136">
                  <c:v>317.98</c:v>
                </c:pt>
                <c:pt idx="1137">
                  <c:v>1162.8900000000001</c:v>
                </c:pt>
                <c:pt idx="1138">
                  <c:v>909.54000000000008</c:v>
                </c:pt>
                <c:pt idx="1139">
                  <c:v>1137.538</c:v>
                </c:pt>
                <c:pt idx="1140">
                  <c:v>6619.2559999999994</c:v>
                </c:pt>
                <c:pt idx="1141">
                  <c:v>320.09300000000002</c:v>
                </c:pt>
                <c:pt idx="1142">
                  <c:v>664.83600000000001</c:v>
                </c:pt>
                <c:pt idx="1143">
                  <c:v>1934.6579999999999</c:v>
                </c:pt>
                <c:pt idx="1144">
                  <c:v>5764.1220000000003</c:v>
                </c:pt>
                <c:pt idx="1145">
                  <c:v>1045.1400000000001</c:v>
                </c:pt>
                <c:pt idx="1146">
                  <c:v>2494.2629999999999</c:v>
                </c:pt>
                <c:pt idx="1147">
                  <c:v>2019.3389999999999</c:v>
                </c:pt>
                <c:pt idx="1148">
                  <c:v>2687.122499999999</c:v>
                </c:pt>
                <c:pt idx="1149">
                  <c:v>1605.92</c:v>
                </c:pt>
                <c:pt idx="1150">
                  <c:v>362.3295</c:v>
                </c:pt>
                <c:pt idx="1151">
                  <c:v>7777.62</c:v>
                </c:pt>
                <c:pt idx="1152">
                  <c:v>741.82050000000004</c:v>
                </c:pt>
                <c:pt idx="1153">
                  <c:v>3150.6779999999999</c:v>
                </c:pt>
                <c:pt idx="1154">
                  <c:v>291.327</c:v>
                </c:pt>
                <c:pt idx="1155">
                  <c:v>2276.0639999999999</c:v>
                </c:pt>
                <c:pt idx="1156">
                  <c:v>1896.5895</c:v>
                </c:pt>
                <c:pt idx="1157">
                  <c:v>1385.2615000000001</c:v>
                </c:pt>
                <c:pt idx="1158">
                  <c:v>289.72800000000001</c:v>
                </c:pt>
                <c:pt idx="1159">
                  <c:v>1009.179</c:v>
                </c:pt>
                <c:pt idx="1160">
                  <c:v>3612.6</c:v>
                </c:pt>
                <c:pt idx="1161">
                  <c:v>1377.663</c:v>
                </c:pt>
                <c:pt idx="1162">
                  <c:v>5782.4279999999999</c:v>
                </c:pt>
                <c:pt idx="1163">
                  <c:v>1118.7719999999999</c:v>
                </c:pt>
                <c:pt idx="1164">
                  <c:v>3015.0720000000001</c:v>
                </c:pt>
                <c:pt idx="1165">
                  <c:v>505.98000000000008</c:v>
                </c:pt>
                <c:pt idx="1166">
                  <c:v>386</c:v>
                </c:pt>
                <c:pt idx="1167">
                  <c:v>1993.0905</c:v>
                </c:pt>
                <c:pt idx="1168">
                  <c:v>960.63600000000008</c:v>
                </c:pt>
                <c:pt idx="1169">
                  <c:v>7720.838999999999</c:v>
                </c:pt>
                <c:pt idx="1170">
                  <c:v>1022.428</c:v>
                </c:pt>
                <c:pt idx="1171">
                  <c:v>2785.433</c:v>
                </c:pt>
                <c:pt idx="1172">
                  <c:v>9057.1099999999988</c:v>
                </c:pt>
                <c:pt idx="1173">
                  <c:v>273.24099999999999</c:v>
                </c:pt>
                <c:pt idx="1174">
                  <c:v>1751.6969999999999</c:v>
                </c:pt>
                <c:pt idx="1175">
                  <c:v>6393.5</c:v>
                </c:pt>
                <c:pt idx="1176">
                  <c:v>7408.62</c:v>
                </c:pt>
                <c:pt idx="1177">
                  <c:v>366.76650000000001</c:v>
                </c:pt>
                <c:pt idx="1178">
                  <c:v>8917.02</c:v>
                </c:pt>
                <c:pt idx="1179">
                  <c:v>537.48</c:v>
                </c:pt>
                <c:pt idx="1180">
                  <c:v>2915.5140000000001</c:v>
                </c:pt>
                <c:pt idx="1181">
                  <c:v>3982.913</c:v>
                </c:pt>
                <c:pt idx="1182">
                  <c:v>2159.4450000000002</c:v>
                </c:pt>
                <c:pt idx="1183">
                  <c:v>3466.3679999999999</c:v>
                </c:pt>
                <c:pt idx="1184">
                  <c:v>265.82</c:v>
                </c:pt>
                <c:pt idx="1185">
                  <c:v>71.38</c:v>
                </c:pt>
                <c:pt idx="1186">
                  <c:v>2304.8429999999998</c:v>
                </c:pt>
                <c:pt idx="1187">
                  <c:v>1798.6255000000001</c:v>
                </c:pt>
                <c:pt idx="1188">
                  <c:v>684.93100000000004</c:v>
                </c:pt>
                <c:pt idx="1189">
                  <c:v>7443.4840000000004</c:v>
                </c:pt>
                <c:pt idx="1190">
                  <c:v>256.63</c:v>
                </c:pt>
                <c:pt idx="1191">
                  <c:v>1611.162</c:v>
                </c:pt>
                <c:pt idx="1192">
                  <c:v>1109.9324999999999</c:v>
                </c:pt>
                <c:pt idx="1193">
                  <c:v>136.22999999999999</c:v>
                </c:pt>
                <c:pt idx="1194">
                  <c:v>422.41500000000002</c:v>
                </c:pt>
                <c:pt idx="1195">
                  <c:v>1908.1224999999999</c:v>
                </c:pt>
                <c:pt idx="1196">
                  <c:v>1556.7919999999999</c:v>
                </c:pt>
                <c:pt idx="1197">
                  <c:v>277.00650000000002</c:v>
                </c:pt>
                <c:pt idx="1198">
                  <c:v>473.22</c:v>
                </c:pt>
                <c:pt idx="1199">
                  <c:v>1470.204</c:v>
                </c:pt>
                <c:pt idx="1200">
                  <c:v>1062.2449999999999</c:v>
                </c:pt>
                <c:pt idx="1201">
                  <c:v>1954.701</c:v>
                </c:pt>
                <c:pt idx="1202">
                  <c:v>4809.47</c:v>
                </c:pt>
                <c:pt idx="1203">
                  <c:v>1873.009</c:v>
                </c:pt>
                <c:pt idx="1204">
                  <c:v>925.39499999999987</c:v>
                </c:pt>
                <c:pt idx="1205">
                  <c:v>2937.48</c:v>
                </c:pt>
                <c:pt idx="1206">
                  <c:v>4460.2879999999996</c:v>
                </c:pt>
                <c:pt idx="1207">
                  <c:v>1734.6120000000001</c:v>
                </c:pt>
                <c:pt idx="1208">
                  <c:v>4106.2139999999999</c:v>
                </c:pt>
                <c:pt idx="1209">
                  <c:v>8862.2099999999991</c:v>
                </c:pt>
                <c:pt idx="1210">
                  <c:v>301.07850000000002</c:v>
                </c:pt>
                <c:pt idx="1211">
                  <c:v>4290.9029999999993</c:v>
                </c:pt>
                <c:pt idx="1212">
                  <c:v>8984.9249999999993</c:v>
                </c:pt>
                <c:pt idx="1213">
                  <c:v>876.12</c:v>
                </c:pt>
                <c:pt idx="1214">
                  <c:v>72.589999999999989</c:v>
                </c:pt>
                <c:pt idx="1215">
                  <c:v>160.28</c:v>
                </c:pt>
                <c:pt idx="1216">
                  <c:v>626.16949999999997</c:v>
                </c:pt>
                <c:pt idx="1217">
                  <c:v>1088.04</c:v>
                </c:pt>
                <c:pt idx="1218">
                  <c:v>8122.5</c:v>
                </c:pt>
                <c:pt idx="1219">
                  <c:v>4496.5934999999999</c:v>
                </c:pt>
                <c:pt idx="1220">
                  <c:v>1060.0740000000001</c:v>
                </c:pt>
                <c:pt idx="1221">
                  <c:v>3268.4560000000001</c:v>
                </c:pt>
                <c:pt idx="1222">
                  <c:v>5414.4719999999998</c:v>
                </c:pt>
                <c:pt idx="1223">
                  <c:v>1655.42</c:v>
                </c:pt>
                <c:pt idx="1224">
                  <c:v>2405.2289999999998</c:v>
                </c:pt>
                <c:pt idx="1225">
                  <c:v>959.1825</c:v>
                </c:pt>
                <c:pt idx="1226">
                  <c:v>2737.9349999999999</c:v>
                </c:pt>
                <c:pt idx="1227">
                  <c:v>795.34</c:v>
                </c:pt>
                <c:pt idx="1228">
                  <c:v>4696.7040000000006</c:v>
                </c:pt>
                <c:pt idx="1229">
                  <c:v>6700.4599999999991</c:v>
                </c:pt>
                <c:pt idx="1230">
                  <c:v>908.81000000000006</c:v>
                </c:pt>
                <c:pt idx="1231">
                  <c:v>6074.8224999999993</c:v>
                </c:pt>
                <c:pt idx="1232">
                  <c:v>3083.68</c:v>
                </c:pt>
                <c:pt idx="1233">
                  <c:v>948.26</c:v>
                </c:pt>
                <c:pt idx="1234">
                  <c:v>7212.9224999999997</c:v>
                </c:pt>
                <c:pt idx="1235">
                  <c:v>57.273000000000003</c:v>
                </c:pt>
                <c:pt idx="1236">
                  <c:v>3497.3249999999998</c:v>
                </c:pt>
                <c:pt idx="1237">
                  <c:v>668.96</c:v>
                </c:pt>
                <c:pt idx="1238">
                  <c:v>3347.47</c:v>
                </c:pt>
                <c:pt idx="1239">
                  <c:v>95.36099999999999</c:v>
                </c:pt>
                <c:pt idx="1240">
                  <c:v>343.72800000000001</c:v>
                </c:pt>
                <c:pt idx="1241">
                  <c:v>105.42</c:v>
                </c:pt>
                <c:pt idx="1242">
                  <c:v>5101.3764999999994</c:v>
                </c:pt>
                <c:pt idx="1243">
                  <c:v>2549.704999999999</c:v>
                </c:pt>
                <c:pt idx="1244">
                  <c:v>288.81000000000012</c:v>
                </c:pt>
                <c:pt idx="1245">
                  <c:v>6648.3374999999996</c:v>
                </c:pt>
                <c:pt idx="1246">
                  <c:v>3840.5839999999998</c:v>
                </c:pt>
                <c:pt idx="1247">
                  <c:v>544.05000000000007</c:v>
                </c:pt>
                <c:pt idx="1248">
                  <c:v>2680.672</c:v>
                </c:pt>
                <c:pt idx="1249">
                  <c:v>4736.34</c:v>
                </c:pt>
                <c:pt idx="1250">
                  <c:v>7947.1259999999993</c:v>
                </c:pt>
                <c:pt idx="1251">
                  <c:v>1854.6659999999999</c:v>
                </c:pt>
                <c:pt idx="1252">
                  <c:v>5195.3980000000001</c:v>
                </c:pt>
                <c:pt idx="1253">
                  <c:v>85.399500000000003</c:v>
                </c:pt>
                <c:pt idx="1254">
                  <c:v>1811.08</c:v>
                </c:pt>
                <c:pt idx="1255">
                  <c:v>934.15</c:v>
                </c:pt>
                <c:pt idx="1256">
                  <c:v>5453.5140000000001</c:v>
                </c:pt>
                <c:pt idx="1257">
                  <c:v>733.76249999999993</c:v>
                </c:pt>
                <c:pt idx="1258">
                  <c:v>2324.8000000000002</c:v>
                </c:pt>
                <c:pt idx="1259">
                  <c:v>606.41999999999996</c:v>
                </c:pt>
                <c:pt idx="1260">
                  <c:v>2116.9499999999998</c:v>
                </c:pt>
                <c:pt idx="1261">
                  <c:v>507.87950000000001</c:v>
                </c:pt>
                <c:pt idx="1262">
                  <c:v>4788.3419999999996</c:v>
                </c:pt>
                <c:pt idx="1263">
                  <c:v>1982.3040000000001</c:v>
                </c:pt>
                <c:pt idx="1264">
                  <c:v>301.33049999999997</c:v>
                </c:pt>
                <c:pt idx="1265">
                  <c:v>7678.9349999999986</c:v>
                </c:pt>
                <c:pt idx="1266">
                  <c:v>3427.02</c:v>
                </c:pt>
                <c:pt idx="1267">
                  <c:v>7822.6894999999986</c:v>
                </c:pt>
                <c:pt idx="1268">
                  <c:v>78.811999999999998</c:v>
                </c:pt>
                <c:pt idx="1269">
                  <c:v>236.952</c:v>
                </c:pt>
                <c:pt idx="1270">
                  <c:v>3944.49</c:v>
                </c:pt>
                <c:pt idx="1271">
                  <c:v>10719.54</c:v>
                </c:pt>
                <c:pt idx="1272">
                  <c:v>6834.4080000000004</c:v>
                </c:pt>
                <c:pt idx="1273">
                  <c:v>7994.34</c:v>
                </c:pt>
                <c:pt idx="1274">
                  <c:v>7378.1370000000006</c:v>
                </c:pt>
                <c:pt idx="1275">
                  <c:v>1282.31</c:v>
                </c:pt>
                <c:pt idx="1276">
                  <c:v>240.0145</c:v>
                </c:pt>
                <c:pt idx="1277">
                  <c:v>1474.76</c:v>
                </c:pt>
                <c:pt idx="1278">
                  <c:v>1709.1165000000001</c:v>
                </c:pt>
                <c:pt idx="1279">
                  <c:v>1197.56</c:v>
                </c:pt>
                <c:pt idx="1280">
                  <c:v>2047.14</c:v>
                </c:pt>
                <c:pt idx="1281">
                  <c:v>3338.5875000000001</c:v>
                </c:pt>
                <c:pt idx="1282">
                  <c:v>2085.5065</c:v>
                </c:pt>
                <c:pt idx="1283">
                  <c:v>2398.559999999999</c:v>
                </c:pt>
                <c:pt idx="1284">
                  <c:v>215.38399999999999</c:v>
                </c:pt>
                <c:pt idx="1285">
                  <c:v>7575.4889999999996</c:v>
                </c:pt>
                <c:pt idx="1286">
                  <c:v>1889.2650000000001</c:v>
                </c:pt>
                <c:pt idx="1287">
                  <c:v>8069.76</c:v>
                </c:pt>
                <c:pt idx="1288">
                  <c:v>855.4</c:v>
                </c:pt>
                <c:pt idx="1289">
                  <c:v>2013.5989999999999</c:v>
                </c:pt>
                <c:pt idx="1290">
                  <c:v>899</c:v>
                </c:pt>
                <c:pt idx="1291">
                  <c:v>7339.8239999999996</c:v>
                </c:pt>
                <c:pt idx="1292">
                  <c:v>3749.2559999999999</c:v>
                </c:pt>
                <c:pt idx="1293">
                  <c:v>4509.1085000000003</c:v>
                </c:pt>
                <c:pt idx="1294">
                  <c:v>139.13</c:v>
                </c:pt>
                <c:pt idx="1295">
                  <c:v>3263.34</c:v>
                </c:pt>
                <c:pt idx="1296">
                  <c:v>4174.3</c:v>
                </c:pt>
                <c:pt idx="1297">
                  <c:v>537.73799999999994</c:v>
                </c:pt>
                <c:pt idx="1298">
                  <c:v>3722.337</c:v>
                </c:pt>
                <c:pt idx="1299">
                  <c:v>5904.3719999999994</c:v>
                </c:pt>
                <c:pt idx="1300">
                  <c:v>1378.16</c:v>
                </c:pt>
                <c:pt idx="1301">
                  <c:v>2811.8159999999998</c:v>
                </c:pt>
                <c:pt idx="1302">
                  <c:v>4921.18</c:v>
                </c:pt>
                <c:pt idx="1303">
                  <c:v>3469.2840000000001</c:v>
                </c:pt>
                <c:pt idx="1304">
                  <c:v>46.988</c:v>
                </c:pt>
                <c:pt idx="1305">
                  <c:v>7468.1</c:v>
                </c:pt>
                <c:pt idx="1306">
                  <c:v>8607.15</c:v>
                </c:pt>
                <c:pt idx="1307">
                  <c:v>6499.0829999999996</c:v>
                </c:pt>
                <c:pt idx="1308">
                  <c:v>3371.7600000000011</c:v>
                </c:pt>
                <c:pt idx="1309">
                  <c:v>3061.47</c:v>
                </c:pt>
                <c:pt idx="1310">
                  <c:v>276.76</c:v>
                </c:pt>
                <c:pt idx="1311">
                  <c:v>2351.3040000000001</c:v>
                </c:pt>
                <c:pt idx="1312">
                  <c:v>240.3</c:v>
                </c:pt>
                <c:pt idx="1313">
                  <c:v>351.28800000000001</c:v>
                </c:pt>
                <c:pt idx="1314">
                  <c:v>83.571999999999989</c:v>
                </c:pt>
                <c:pt idx="1315">
                  <c:v>1009.64</c:v>
                </c:pt>
                <c:pt idx="1316">
                  <c:v>4221.1170000000002</c:v>
                </c:pt>
                <c:pt idx="1317">
                  <c:v>1057.617</c:v>
                </c:pt>
                <c:pt idx="1318">
                  <c:v>3752.64</c:v>
                </c:pt>
                <c:pt idx="1319">
                  <c:v>3807.4859999999999</c:v>
                </c:pt>
                <c:pt idx="1320">
                  <c:v>4619.5174999999999</c:v>
                </c:pt>
                <c:pt idx="1321">
                  <c:v>3279.7710000000002</c:v>
                </c:pt>
                <c:pt idx="1322">
                  <c:v>2667.6</c:v>
                </c:pt>
                <c:pt idx="1323">
                  <c:v>4922.3999999999996</c:v>
                </c:pt>
                <c:pt idx="1324">
                  <c:v>4158.3104999999996</c:v>
                </c:pt>
                <c:pt idx="1325">
                  <c:v>2168.9279999999999</c:v>
                </c:pt>
                <c:pt idx="1326">
                  <c:v>5429.16</c:v>
                </c:pt>
                <c:pt idx="1327">
                  <c:v>1476.585</c:v>
                </c:pt>
                <c:pt idx="1328">
                  <c:v>3667.14</c:v>
                </c:pt>
                <c:pt idx="1329">
                  <c:v>1183.4804999999999</c:v>
                </c:pt>
                <c:pt idx="1330">
                  <c:v>751.45099999999991</c:v>
                </c:pt>
                <c:pt idx="1331">
                  <c:v>551.35149999999999</c:v>
                </c:pt>
                <c:pt idx="1332">
                  <c:v>5173.1679999999997</c:v>
                </c:pt>
                <c:pt idx="1333">
                  <c:v>32.262</c:v>
                </c:pt>
                <c:pt idx="1334">
                  <c:v>359.44200000000001</c:v>
                </c:pt>
                <c:pt idx="1335">
                  <c:v>366.36</c:v>
                </c:pt>
                <c:pt idx="1336">
                  <c:v>1235.556</c:v>
                </c:pt>
                <c:pt idx="1337">
                  <c:v>1684.4960000000001</c:v>
                </c:pt>
                <c:pt idx="1338">
                  <c:v>1372.56</c:v>
                </c:pt>
                <c:pt idx="1339">
                  <c:v>7628.7420000000011</c:v>
                </c:pt>
                <c:pt idx="1340">
                  <c:v>4601.3999999999996</c:v>
                </c:pt>
                <c:pt idx="1341">
                  <c:v>4996.9799999999996</c:v>
                </c:pt>
                <c:pt idx="1342">
                  <c:v>908.02</c:v>
                </c:pt>
                <c:pt idx="1343">
                  <c:v>776.86249999999995</c:v>
                </c:pt>
                <c:pt idx="1344">
                  <c:v>1699.32</c:v>
                </c:pt>
                <c:pt idx="1345">
                  <c:v>1793.7719999999999</c:v>
                </c:pt>
                <c:pt idx="1346">
                  <c:v>5521.1239999999998</c:v>
                </c:pt>
                <c:pt idx="1347">
                  <c:v>580.29499999999996</c:v>
                </c:pt>
                <c:pt idx="1348">
                  <c:v>205.27600000000001</c:v>
                </c:pt>
                <c:pt idx="1349">
                  <c:v>638.28</c:v>
                </c:pt>
                <c:pt idx="1350">
                  <c:v>2375.6480000000001</c:v>
                </c:pt>
                <c:pt idx="1351">
                  <c:v>1163.028</c:v>
                </c:pt>
                <c:pt idx="1352">
                  <c:v>1970.64</c:v>
                </c:pt>
                <c:pt idx="1353">
                  <c:v>6725.8</c:v>
                </c:pt>
                <c:pt idx="1354">
                  <c:v>1135.575</c:v>
                </c:pt>
                <c:pt idx="1355">
                  <c:v>21.75</c:v>
                </c:pt>
                <c:pt idx="1356">
                  <c:v>1745.172</c:v>
                </c:pt>
                <c:pt idx="1357">
                  <c:v>1314.355</c:v>
                </c:pt>
                <c:pt idx="1358">
                  <c:v>327.84300000000002</c:v>
                </c:pt>
                <c:pt idx="1359">
                  <c:v>2757.78</c:v>
                </c:pt>
                <c:pt idx="1360">
                  <c:v>9541.8000000000011</c:v>
                </c:pt>
                <c:pt idx="1361">
                  <c:v>3592.08</c:v>
                </c:pt>
                <c:pt idx="1362">
                  <c:v>8366.08</c:v>
                </c:pt>
                <c:pt idx="1363">
                  <c:v>304.02</c:v>
                </c:pt>
                <c:pt idx="1364">
                  <c:v>5032.5014999999994</c:v>
                </c:pt>
                <c:pt idx="1365">
                  <c:v>750.00599999999997</c:v>
                </c:pt>
                <c:pt idx="1366">
                  <c:v>5159.880000000001</c:v>
                </c:pt>
                <c:pt idx="1367">
                  <c:v>5972.8304999999991</c:v>
                </c:pt>
                <c:pt idx="1368">
                  <c:v>2311.54</c:v>
                </c:pt>
                <c:pt idx="1369">
                  <c:v>4069.889999999999</c:v>
                </c:pt>
                <c:pt idx="1370">
                  <c:v>893.37599999999998</c:v>
                </c:pt>
                <c:pt idx="1371">
                  <c:v>2080</c:v>
                </c:pt>
                <c:pt idx="1372">
                  <c:v>6281.77</c:v>
                </c:pt>
                <c:pt idx="1373">
                  <c:v>649.14300000000003</c:v>
                </c:pt>
                <c:pt idx="1374">
                  <c:v>1588.08</c:v>
                </c:pt>
                <c:pt idx="1375">
                  <c:v>1608.825</c:v>
                </c:pt>
                <c:pt idx="1376">
                  <c:v>2910.7620000000002</c:v>
                </c:pt>
                <c:pt idx="1377">
                  <c:v>114.19</c:v>
                </c:pt>
                <c:pt idx="1378">
                  <c:v>1871.7594999999999</c:v>
                </c:pt>
                <c:pt idx="1379">
                  <c:v>1621.84</c:v>
                </c:pt>
                <c:pt idx="1380">
                  <c:v>2476.8404999999998</c:v>
                </c:pt>
                <c:pt idx="1381">
                  <c:v>1927.44</c:v>
                </c:pt>
                <c:pt idx="1382">
                  <c:v>312.2</c:v>
                </c:pt>
                <c:pt idx="1383">
                  <c:v>309.95999999999998</c:v>
                </c:pt>
                <c:pt idx="1384">
                  <c:v>3480.5970000000002</c:v>
                </c:pt>
                <c:pt idx="1385">
                  <c:v>3822.0875000000001</c:v>
                </c:pt>
                <c:pt idx="1386">
                  <c:v>710.75199999999995</c:v>
                </c:pt>
                <c:pt idx="1387">
                  <c:v>451.76400000000001</c:v>
                </c:pt>
                <c:pt idx="1388">
                  <c:v>4257.2879999999996</c:v>
                </c:pt>
                <c:pt idx="1389">
                  <c:v>6323.4089999999997</c:v>
                </c:pt>
                <c:pt idx="1390">
                  <c:v>2244.2399999999998</c:v>
                </c:pt>
                <c:pt idx="1391">
                  <c:v>2659.752</c:v>
                </c:pt>
                <c:pt idx="1392">
                  <c:v>3311.9850000000001</c:v>
                </c:pt>
                <c:pt idx="1393">
                  <c:v>2366.4</c:v>
                </c:pt>
                <c:pt idx="1394">
                  <c:v>6429.28</c:v>
                </c:pt>
                <c:pt idx="1395">
                  <c:v>2692.9</c:v>
                </c:pt>
                <c:pt idx="1396">
                  <c:v>1227.4760000000001</c:v>
                </c:pt>
                <c:pt idx="1397">
                  <c:v>5608.5974999999989</c:v>
                </c:pt>
                <c:pt idx="1398">
                  <c:v>7342.9679999999989</c:v>
                </c:pt>
                <c:pt idx="1399">
                  <c:v>302.65949999999998</c:v>
                </c:pt>
                <c:pt idx="1400">
                  <c:v>7396.0919999999996</c:v>
                </c:pt>
                <c:pt idx="1401">
                  <c:v>920.37149999999997</c:v>
                </c:pt>
                <c:pt idx="1402">
                  <c:v>1865.61</c:v>
                </c:pt>
                <c:pt idx="1403">
                  <c:v>272.16000000000003</c:v>
                </c:pt>
                <c:pt idx="1404">
                  <c:v>3467.915</c:v>
                </c:pt>
                <c:pt idx="1405">
                  <c:v>4121.5499999999993</c:v>
                </c:pt>
                <c:pt idx="1406">
                  <c:v>405.57749999999999</c:v>
                </c:pt>
                <c:pt idx="1407">
                  <c:v>3756.48</c:v>
                </c:pt>
                <c:pt idx="1408">
                  <c:v>6319.6659999999993</c:v>
                </c:pt>
                <c:pt idx="1409">
                  <c:v>2814.2325000000001</c:v>
                </c:pt>
                <c:pt idx="1410">
                  <c:v>548.2165</c:v>
                </c:pt>
                <c:pt idx="1411">
                  <c:v>2939.382000000001</c:v>
                </c:pt>
                <c:pt idx="1412">
                  <c:v>5071.1849999999986</c:v>
                </c:pt>
                <c:pt idx="1413">
                  <c:v>379.13400000000001</c:v>
                </c:pt>
                <c:pt idx="1414">
                  <c:v>1998.0719999999999</c:v>
                </c:pt>
                <c:pt idx="1415">
                  <c:v>4826.57</c:v>
                </c:pt>
                <c:pt idx="1416">
                  <c:v>4084.5645</c:v>
                </c:pt>
                <c:pt idx="1417">
                  <c:v>1520.5050000000001</c:v>
                </c:pt>
                <c:pt idx="1418">
                  <c:v>1675.8665000000001</c:v>
                </c:pt>
                <c:pt idx="1419">
                  <c:v>377.19000000000011</c:v>
                </c:pt>
                <c:pt idx="1420">
                  <c:v>1532.856</c:v>
                </c:pt>
                <c:pt idx="1421">
                  <c:v>3688.32</c:v>
                </c:pt>
                <c:pt idx="1422">
                  <c:v>2673.3690000000001</c:v>
                </c:pt>
                <c:pt idx="1423">
                  <c:v>4395.0239999999994</c:v>
                </c:pt>
                <c:pt idx="1424">
                  <c:v>7019.36</c:v>
                </c:pt>
                <c:pt idx="1425">
                  <c:v>1745.64</c:v>
                </c:pt>
                <c:pt idx="1426">
                  <c:v>9925.1819999999989</c:v>
                </c:pt>
                <c:pt idx="1427">
                  <c:v>1483.11</c:v>
                </c:pt>
                <c:pt idx="1428">
                  <c:v>1331.2260000000001</c:v>
                </c:pt>
                <c:pt idx="1429">
                  <c:v>7646.56</c:v>
                </c:pt>
                <c:pt idx="1430">
                  <c:v>3860.5140000000001</c:v>
                </c:pt>
                <c:pt idx="1431">
                  <c:v>134.52950000000001</c:v>
                </c:pt>
                <c:pt idx="1432">
                  <c:v>1977.1020000000001</c:v>
                </c:pt>
                <c:pt idx="1433">
                  <c:v>2813.076</c:v>
                </c:pt>
                <c:pt idx="1434">
                  <c:v>3174.6</c:v>
                </c:pt>
                <c:pt idx="1435">
                  <c:v>963.66600000000005</c:v>
                </c:pt>
                <c:pt idx="1436">
                  <c:v>4186.6109999999999</c:v>
                </c:pt>
                <c:pt idx="1437">
                  <c:v>2117.2460000000001</c:v>
                </c:pt>
                <c:pt idx="1438">
                  <c:v>3723.165</c:v>
                </c:pt>
                <c:pt idx="1439">
                  <c:v>3552.12</c:v>
                </c:pt>
                <c:pt idx="1440">
                  <c:v>5571.67</c:v>
                </c:pt>
                <c:pt idx="1441">
                  <c:v>1610.0315000000001</c:v>
                </c:pt>
                <c:pt idx="1442">
                  <c:v>7709.6869999999999</c:v>
                </c:pt>
                <c:pt idx="1443">
                  <c:v>745.56000000000006</c:v>
                </c:pt>
                <c:pt idx="1444">
                  <c:v>2372.34</c:v>
                </c:pt>
                <c:pt idx="1445">
                  <c:v>1494.9</c:v>
                </c:pt>
                <c:pt idx="1446">
                  <c:v>755.61599999999999</c:v>
                </c:pt>
                <c:pt idx="1447">
                  <c:v>4625.9299999999994</c:v>
                </c:pt>
                <c:pt idx="1448">
                  <c:v>1837.3409999999999</c:v>
                </c:pt>
                <c:pt idx="1449">
                  <c:v>3630.1210000000001</c:v>
                </c:pt>
                <c:pt idx="1450">
                  <c:v>4531.9274999999998</c:v>
                </c:pt>
                <c:pt idx="1451">
                  <c:v>3089.9625000000001</c:v>
                </c:pt>
                <c:pt idx="1452">
                  <c:v>209.3295</c:v>
                </c:pt>
                <c:pt idx="1453">
                  <c:v>2428.7049999999999</c:v>
                </c:pt>
                <c:pt idx="1454">
                  <c:v>5225.2560000000003</c:v>
                </c:pt>
                <c:pt idx="1455">
                  <c:v>2726.64</c:v>
                </c:pt>
                <c:pt idx="1456">
                  <c:v>3151.9360000000001</c:v>
                </c:pt>
                <c:pt idx="1457">
                  <c:v>365.74650000000003</c:v>
                </c:pt>
                <c:pt idx="1458">
                  <c:v>6516.6</c:v>
                </c:pt>
                <c:pt idx="1459">
                  <c:v>7744.16</c:v>
                </c:pt>
                <c:pt idx="1460">
                  <c:v>110.16</c:v>
                </c:pt>
                <c:pt idx="1461">
                  <c:v>2469.0120000000002</c:v>
                </c:pt>
                <c:pt idx="1462">
                  <c:v>5727.4359999999997</c:v>
                </c:pt>
                <c:pt idx="1463">
                  <c:v>1470.04</c:v>
                </c:pt>
                <c:pt idx="1464">
                  <c:v>6307.3350000000009</c:v>
                </c:pt>
                <c:pt idx="1465">
                  <c:v>1623.72</c:v>
                </c:pt>
                <c:pt idx="1466">
                  <c:v>421.05599999999998</c:v>
                </c:pt>
                <c:pt idx="1467">
                  <c:v>606.25199999999995</c:v>
                </c:pt>
                <c:pt idx="1468">
                  <c:v>2252.25</c:v>
                </c:pt>
                <c:pt idx="1469">
                  <c:v>521.37</c:v>
                </c:pt>
                <c:pt idx="1470">
                  <c:v>1666.604</c:v>
                </c:pt>
                <c:pt idx="1471">
                  <c:v>3217.44</c:v>
                </c:pt>
                <c:pt idx="1472">
                  <c:v>8005.86</c:v>
                </c:pt>
                <c:pt idx="1473">
                  <c:v>1802.85</c:v>
                </c:pt>
                <c:pt idx="1474">
                  <c:v>3897.2159999999999</c:v>
                </c:pt>
                <c:pt idx="1475">
                  <c:v>1605.9559999999999</c:v>
                </c:pt>
                <c:pt idx="1476">
                  <c:v>147.4</c:v>
                </c:pt>
                <c:pt idx="1477">
                  <c:v>2126.0239999999999</c:v>
                </c:pt>
                <c:pt idx="1478">
                  <c:v>868.13850000000002</c:v>
                </c:pt>
                <c:pt idx="1479">
                  <c:v>2144.88</c:v>
                </c:pt>
                <c:pt idx="1480">
                  <c:v>6960.5280000000002</c:v>
                </c:pt>
                <c:pt idx="1481">
                  <c:v>909.32100000000003</c:v>
                </c:pt>
                <c:pt idx="1482">
                  <c:v>4798.26</c:v>
                </c:pt>
                <c:pt idx="1483">
                  <c:v>740.96199999999999</c:v>
                </c:pt>
                <c:pt idx="1484">
                  <c:v>7012.585</c:v>
                </c:pt>
                <c:pt idx="1485">
                  <c:v>1888.96</c:v>
                </c:pt>
                <c:pt idx="1486">
                  <c:v>1148.24</c:v>
                </c:pt>
                <c:pt idx="1487">
                  <c:v>799.59999999999991</c:v>
                </c:pt>
                <c:pt idx="1488">
                  <c:v>5524.6489999999994</c:v>
                </c:pt>
                <c:pt idx="1489">
                  <c:v>2302.56</c:v>
                </c:pt>
                <c:pt idx="1490">
                  <c:v>1311.6869999999999</c:v>
                </c:pt>
                <c:pt idx="1491">
                  <c:v>2791.0239999999999</c:v>
                </c:pt>
                <c:pt idx="1492">
                  <c:v>708.83299999999997</c:v>
                </c:pt>
                <c:pt idx="1493">
                  <c:v>8970.56</c:v>
                </c:pt>
                <c:pt idx="1494">
                  <c:v>1006.45</c:v>
                </c:pt>
                <c:pt idx="1495">
                  <c:v>1661.816</c:v>
                </c:pt>
                <c:pt idx="1496">
                  <c:v>3209.1750000000002</c:v>
                </c:pt>
                <c:pt idx="1497">
                  <c:v>272.5</c:v>
                </c:pt>
                <c:pt idx="1498">
                  <c:v>3493.511</c:v>
                </c:pt>
                <c:pt idx="1499">
                  <c:v>2878.07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5B1-4B5E-BAD5-91C9716C7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02591"/>
        <c:axId val="128220175"/>
      </c:scatterChart>
      <c:valAx>
        <c:axId val="36370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8220175"/>
        <c:crosses val="autoZero"/>
        <c:crossBetween val="midCat"/>
      </c:valAx>
      <c:valAx>
        <c:axId val="12822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6370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[Product-Sales-Region.xlsx]Shipping cost distribution!Сводная 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Shipping cost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4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shade val="4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dLbl>
      </c:pivotFmt>
      <c:pivotFmt>
        <c:idx val="2"/>
        <c:spPr>
          <a:solidFill>
            <a:schemeClr val="accent2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shade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dLbl>
      </c:pivotFmt>
      <c:pivotFmt>
        <c:idx val="3"/>
        <c:spPr>
          <a:solidFill>
            <a:schemeClr val="accent2">
              <a:shade val="82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shade val="82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dLbl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dLbl>
      </c:pivotFmt>
      <c:pivotFmt>
        <c:idx val="5"/>
        <c:spPr>
          <a:solidFill>
            <a:schemeClr val="accent2">
              <a:tint val="8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tint val="8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dLbl>
      </c:pivotFmt>
      <c:pivotFmt>
        <c:idx val="6"/>
        <c:spPr>
          <a:solidFill>
            <a:schemeClr val="accent2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tint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dLbl>
      </c:pivotFmt>
      <c:pivotFmt>
        <c:idx val="7"/>
        <c:spPr>
          <a:solidFill>
            <a:schemeClr val="accent2">
              <a:tint val="4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tint val="4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cost distribution'!$B$3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FAD-4740-9B94-6BA19039C6F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AD-4740-9B94-6BA19039C6F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FAD-4740-9B94-6BA19039C6F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AD-4740-9B94-6BA19039C6F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FAD-4740-9B94-6BA19039C6F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AD-4740-9B94-6BA19039C6F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FAD-4740-9B94-6BA19039C6F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FAD-4740-9B94-6BA19039C6F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FAD-4740-9B94-6BA19039C6F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FAD-4740-9B94-6BA19039C6F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FAD-4740-9B94-6BA19039C6F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FAD-4740-9B94-6BA19039C6F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FAD-4740-9B94-6BA19039C6F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FAD-4740-9B94-6BA19039C6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'Shipping cost distribution'!$A$4:$A$11</c:f>
              <c:strCache>
                <c:ptCount val="7"/>
                <c:pt idx="0">
                  <c:v>Laptop</c:v>
                </c:pt>
                <c:pt idx="1">
                  <c:v>Chair</c:v>
                </c:pt>
                <c:pt idx="2">
                  <c:v>Phone</c:v>
                </c:pt>
                <c:pt idx="3">
                  <c:v>Monitor</c:v>
                </c:pt>
                <c:pt idx="4">
                  <c:v>Printer</c:v>
                </c:pt>
                <c:pt idx="5">
                  <c:v>Tablet</c:v>
                </c:pt>
                <c:pt idx="6">
                  <c:v>Desk</c:v>
                </c:pt>
              </c:strCache>
            </c:strRef>
          </c:cat>
          <c:val>
            <c:numRef>
              <c:f>'Shipping cost distribution'!$B$4:$B$11</c:f>
              <c:numCache>
                <c:formatCode>General</c:formatCode>
                <c:ptCount val="7"/>
                <c:pt idx="0">
                  <c:v>1590.87</c:v>
                </c:pt>
                <c:pt idx="1">
                  <c:v>1447.6200000000003</c:v>
                </c:pt>
                <c:pt idx="2">
                  <c:v>1294.22</c:v>
                </c:pt>
                <c:pt idx="3">
                  <c:v>1140.9599999999998</c:v>
                </c:pt>
                <c:pt idx="4">
                  <c:v>1044.8400000000004</c:v>
                </c:pt>
                <c:pt idx="5">
                  <c:v>1008.4699999999999</c:v>
                </c:pt>
                <c:pt idx="6">
                  <c:v>864.55000000000007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D-4740-9B94-6BA19039C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48837408"/>
        <c:axId val="1504120976"/>
      </c:barChart>
      <c:catAx>
        <c:axId val="164883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04120976"/>
        <c:auto val="1"/>
        <c:lblAlgn val="ctr"/>
        <c:lblOffset val="100"/>
        <c:noMultiLvlLbl val="0"/>
      </c:catAx>
      <c:valAx>
        <c:axId val="15041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48837408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uk-U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Rozrahunky!$L$1</c:f>
              <c:strCache>
                <c:ptCount val="1"/>
                <c:pt idx="0">
                  <c:v>Region Average Delivery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Rozrahunky!$K$2:$K$6</c:f>
              <c:strCache>
                <c:ptCount val="5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Central</c:v>
                </c:pt>
                <c:pt idx="4">
                  <c:v>West</c:v>
                </c:pt>
              </c:strCache>
            </c:strRef>
          </c:cat>
          <c:val>
            <c:numRef>
              <c:f>Rozrahunky!$L$2:$L$6</c:f>
              <c:numCache>
                <c:formatCode>0.00</c:formatCode>
                <c:ptCount val="5"/>
                <c:pt idx="0">
                  <c:v>5.996784565916399</c:v>
                </c:pt>
                <c:pt idx="1">
                  <c:v>5.9322033898305087</c:v>
                </c:pt>
                <c:pt idx="2">
                  <c:v>6.3851132686084142</c:v>
                </c:pt>
                <c:pt idx="3">
                  <c:v>5.8770764119601333</c:v>
                </c:pt>
                <c:pt idx="4">
                  <c:v>6.01056338028169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0-417F-96D1-52630CFCF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494238383"/>
        <c:axId val="126813167"/>
      </c:barChart>
      <c:catAx>
        <c:axId val="49423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813167"/>
        <c:crosses val="autoZero"/>
        <c:auto val="1"/>
        <c:lblAlgn val="ctr"/>
        <c:lblOffset val="100"/>
        <c:noMultiLvlLbl val="0"/>
      </c:catAx>
      <c:valAx>
        <c:axId val="1268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942383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9</xdr:row>
      <xdr:rowOff>179070</xdr:rowOff>
    </xdr:from>
    <xdr:to>
      <xdr:col>6</xdr:col>
      <xdr:colOff>251460</xdr:colOff>
      <xdr:row>24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3ED9E0B-AA7D-E550-405B-5F1F576DE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10</xdr:row>
      <xdr:rowOff>3810</xdr:rowOff>
    </xdr:from>
    <xdr:to>
      <xdr:col>13</xdr:col>
      <xdr:colOff>502920</xdr:colOff>
      <xdr:row>25</xdr:row>
      <xdr:rowOff>3810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52722D7-43F6-5046-B086-68D096B08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163830</xdr:rowOff>
    </xdr:from>
    <xdr:to>
      <xdr:col>14</xdr:col>
      <xdr:colOff>60960</xdr:colOff>
      <xdr:row>18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3B80BB-8BBF-4E8B-D04E-8F88B0400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7620</xdr:rowOff>
    </xdr:from>
    <xdr:to>
      <xdr:col>18</xdr:col>
      <xdr:colOff>205740</xdr:colOff>
      <xdr:row>16</xdr:row>
      <xdr:rowOff>83820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8373B9-C04D-D007-2439-02395033C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320040</xdr:colOff>
      <xdr:row>18</xdr:row>
      <xdr:rowOff>41910</xdr:rowOff>
    </xdr:from>
    <xdr:to>
      <xdr:col>18</xdr:col>
      <xdr:colOff>160020</xdr:colOff>
      <xdr:row>43</xdr:row>
      <xdr:rowOff>15240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7533436-45EA-2475-DFED-65A7D60DC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2</xdr:row>
      <xdr:rowOff>11430</xdr:rowOff>
    </xdr:from>
    <xdr:to>
      <xdr:col>8</xdr:col>
      <xdr:colOff>83820</xdr:colOff>
      <xdr:row>17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B3A9781-6CE1-AF19-0B63-343459889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335280</xdr:colOff>
      <xdr:row>27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1158061-E089-4344-8E15-38E1E8DB3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0</xdr:row>
      <xdr:rowOff>140970</xdr:rowOff>
    </xdr:from>
    <xdr:to>
      <xdr:col>15</xdr:col>
      <xdr:colOff>83820</xdr:colOff>
      <xdr:row>23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531A5E-1AEA-2C9B-CBB5-BD40A5EBD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13</xdr:col>
      <xdr:colOff>7620</xdr:colOff>
      <xdr:row>21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34C6D1-4199-46D4-88FC-3141C83CD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рія" refreshedDate="46257.611185185182" createdVersion="8" refreshedVersion="8" minRefreshableVersion="3" recordCount="1500" xr:uid="{290851D2-345B-4B5E-90F9-158D17F6DD23}">
  <cacheSource type="worksheet">
    <worksheetSource ref="A1:S1501" sheet="Data"/>
  </cacheSource>
  <cacheFields count="22">
    <cacheField name="Date" numFmtId="166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 count="2">
        <s v="Wholesale"/>
        <s v="Retail"/>
      </sharedItems>
    </cacheField>
    <cacheField name="Discount" numFmtId="9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165">
      <sharedItems containsSemiMixedTypes="0" containsString="0" containsNumber="1" minValue="6.9699999999999989" maxValue="11077"/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1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Месяцы (OrderDate)" numFmtId="0" databaseField="0">
      <fieldGroup base="16">
        <rangePr groupBy="months" startDate="2023-01-01T00:00:00" endDate="2025-07-01T00:00:00"/>
        <groupItems count="14">
          <s v="&lt;01.01.2023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01.07.2025"/>
        </groupItems>
      </fieldGroup>
    </cacheField>
    <cacheField name="Кварталы (OrderDate)" numFmtId="0" databaseField="0">
      <fieldGroup base="16">
        <rangePr groupBy="quarters" startDate="2023-01-01T00:00:00" endDate="2025-07-01T00:00:00"/>
        <groupItems count="6">
          <s v="&lt;01.01.2023"/>
          <s v="Кв-л1"/>
          <s v="Кв-л2"/>
          <s v="Кв-л3"/>
          <s v="Кв-л4"/>
          <s v="&gt;01.07.2025"/>
        </groupItems>
      </fieldGroup>
    </cacheField>
    <cacheField name="Годы (OrderDate)" numFmtId="0" databaseField="0">
      <fieldGroup base="16">
        <rangePr groupBy="years" startDate="2023-01-01T00:00:00" endDate="2025-07-01T00:00:00"/>
        <groupItems count="5">
          <s v="&lt;01.01.2023"/>
          <s v="2023"/>
          <s v="2024"/>
          <s v="2025"/>
          <s v="&gt;01.07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x v="0"/>
    <n v="14"/>
    <n v="163.6"/>
    <s v="Store B"/>
    <x v="0"/>
    <n v="0"/>
    <x v="0"/>
    <n v="2290.4"/>
    <x v="0"/>
    <s v="FREESHIP"/>
    <n v="0"/>
    <s v="REG100000"/>
    <s v="Cust 6583"/>
    <n v="43.34"/>
    <x v="0"/>
    <d v="2023-02-27T00:00:00"/>
    <s v="Eric"/>
  </r>
  <r>
    <d v="2024-12-19T00:00:00"/>
    <x v="1"/>
    <x v="1"/>
    <n v="1"/>
    <n v="544.01"/>
    <s v="Store A"/>
    <x v="1"/>
    <n v="0"/>
    <x v="1"/>
    <n v="544.01"/>
    <x v="1"/>
    <s v="SAVE10"/>
    <n v="0"/>
    <s v="REG100001"/>
    <s v="Cust 2144"/>
    <n v="5.3"/>
    <x v="1"/>
    <d v="2024-12-28T00:00:00"/>
    <s v="Sophie"/>
  </r>
  <r>
    <d v="2023-05-10T00:00:00"/>
    <x v="2"/>
    <x v="2"/>
    <n v="14"/>
    <n v="346.18"/>
    <s v="Store B"/>
    <x v="0"/>
    <n v="0.1"/>
    <x v="1"/>
    <n v="4361.8680000000004"/>
    <x v="0"/>
    <s v="WINTER15"/>
    <n v="0"/>
    <s v="REG100002"/>
    <s v="Cust 5998"/>
    <n v="20.46"/>
    <x v="2"/>
    <d v="2023-05-19T00:00:00"/>
    <s v="Ryan"/>
  </r>
  <r>
    <d v="2025-02-26T00:00:00"/>
    <x v="3"/>
    <x v="3"/>
    <n v="18"/>
    <n v="384.82"/>
    <s v="Store A"/>
    <x v="0"/>
    <n v="0.15"/>
    <x v="2"/>
    <n v="5887.7460000000001"/>
    <x v="1"/>
    <s v="FREESHIP"/>
    <n v="0"/>
    <s v="REG100003"/>
    <s v="Cust 7136"/>
    <n v="27.95"/>
    <x v="3"/>
    <d v="2025-03-02T00:00:00"/>
    <s v="Cameron"/>
  </r>
  <r>
    <d v="2023-06-24T00:00:00"/>
    <x v="0"/>
    <x v="2"/>
    <n v="18"/>
    <n v="237.76"/>
    <s v="Store C"/>
    <x v="1"/>
    <n v="0"/>
    <x v="3"/>
    <n v="4279.68"/>
    <x v="0"/>
    <s v="SAVE10"/>
    <n v="0"/>
    <s v="REG100004"/>
    <s v="Cust 6506"/>
    <n v="5.73"/>
    <x v="4"/>
    <d v="2023-06-27T00:00:00"/>
    <s v="Eric"/>
  </r>
  <r>
    <d v="2024-02-20T00:00:00"/>
    <x v="3"/>
    <x v="4"/>
    <n v="2"/>
    <n v="385.09"/>
    <s v="Store D"/>
    <x v="0"/>
    <n v="0.15"/>
    <x v="4"/>
    <n v="654.65299999999991"/>
    <x v="2"/>
    <m/>
    <n v="0"/>
    <s v="REG100005"/>
    <s v="Cust 3909"/>
    <n v="11.92"/>
    <x v="5"/>
    <d v="2024-03-01T00:00:00"/>
    <s v="Cameron"/>
  </r>
  <r>
    <d v="2023-01-11T00:00:00"/>
    <x v="1"/>
    <x v="3"/>
    <n v="7"/>
    <n v="17.5"/>
    <s v="Store C"/>
    <x v="1"/>
    <n v="0.1"/>
    <x v="1"/>
    <n v="110.25"/>
    <x v="3"/>
    <s v="WINTER15"/>
    <n v="0"/>
    <s v="REG100006"/>
    <s v="Cust 7887"/>
    <n v="5.0199999999999996"/>
    <x v="6"/>
    <d v="2023-01-14T00:00:00"/>
    <s v="Sophie"/>
  </r>
  <r>
    <d v="2023-01-09T00:00:00"/>
    <x v="3"/>
    <x v="3"/>
    <n v="3"/>
    <n v="330.22"/>
    <s v="Store C"/>
    <x v="0"/>
    <n v="0.15"/>
    <x v="3"/>
    <n v="842.06100000000004"/>
    <x v="4"/>
    <m/>
    <n v="0"/>
    <s v="REG100007"/>
    <s v="Cust 5301"/>
    <n v="48.01"/>
    <x v="7"/>
    <d v="2023-01-11T00:00:00"/>
    <s v="Cameron"/>
  </r>
  <r>
    <d v="2024-10-16T00:00:00"/>
    <x v="1"/>
    <x v="3"/>
    <n v="3"/>
    <n v="432.04"/>
    <s v="Store D"/>
    <x v="0"/>
    <n v="0.05"/>
    <x v="5"/>
    <n v="1231.3140000000001"/>
    <x v="3"/>
    <s v="FREESHIP"/>
    <n v="1"/>
    <s v="REG100008"/>
    <s v="Cust 2284"/>
    <n v="42.11"/>
    <x v="8"/>
    <d v="2024-10-18T00:00:00"/>
    <s v="Sophie"/>
  </r>
  <r>
    <d v="2025-03-05T00:00:00"/>
    <x v="4"/>
    <x v="2"/>
    <n v="5"/>
    <n v="323.27999999999997"/>
    <s v="Store D"/>
    <x v="1"/>
    <n v="0.1"/>
    <x v="2"/>
    <n v="1454.76"/>
    <x v="1"/>
    <s v="SAVE10"/>
    <n v="0"/>
    <s v="REG100009"/>
    <s v="Cust 3732"/>
    <n v="41.1"/>
    <x v="9"/>
    <d v="2025-03-13T00:00:00"/>
    <s v="Wendy"/>
  </r>
  <r>
    <d v="2024-04-10T00:00:00"/>
    <x v="2"/>
    <x v="2"/>
    <n v="15"/>
    <n v="523.29"/>
    <s v="Store B"/>
    <x v="0"/>
    <n v="0.15"/>
    <x v="0"/>
    <n v="6671.9474999999993"/>
    <x v="3"/>
    <m/>
    <n v="0"/>
    <s v="REG100010"/>
    <s v="Cust 1462"/>
    <n v="12.14"/>
    <x v="10"/>
    <d v="2024-04-17T00:00:00"/>
    <s v="Ryan"/>
  </r>
  <r>
    <d v="2024-07-12T00:00:00"/>
    <x v="0"/>
    <x v="1"/>
    <n v="19"/>
    <n v="207.35"/>
    <s v="Store D"/>
    <x v="1"/>
    <n v="0.1"/>
    <x v="0"/>
    <n v="3545.6849999999999"/>
    <x v="1"/>
    <m/>
    <n v="1"/>
    <s v="REG100011"/>
    <s v="Cust 4330"/>
    <n v="44.89"/>
    <x v="11"/>
    <d v="2024-07-18T00:00:00"/>
    <s v="Eric"/>
  </r>
  <r>
    <d v="2023-07-21T00:00:00"/>
    <x v="3"/>
    <x v="1"/>
    <n v="1"/>
    <n v="120.53"/>
    <s v="Store B"/>
    <x v="1"/>
    <n v="0.05"/>
    <x v="4"/>
    <n v="114.5035"/>
    <x v="4"/>
    <s v="WINTER15"/>
    <n v="0"/>
    <s v="REG100012"/>
    <s v="Cust 2372"/>
    <n v="20.350000000000001"/>
    <x v="12"/>
    <d v="2023-07-31T00:00:00"/>
    <s v="Cameron"/>
  </r>
  <r>
    <d v="2025-01-18T00:00:00"/>
    <x v="4"/>
    <x v="5"/>
    <n v="1"/>
    <n v="157.83000000000001"/>
    <s v="Store A"/>
    <x v="0"/>
    <n v="0.15"/>
    <x v="3"/>
    <n v="134.15549999999999"/>
    <x v="3"/>
    <m/>
    <n v="0"/>
    <s v="REG100013"/>
    <s v="Cust 4672"/>
    <n v="42.82"/>
    <x v="13"/>
    <d v="2025-01-22T00:00:00"/>
    <s v="Wendy"/>
  </r>
  <r>
    <d v="2024-12-08T00:00:00"/>
    <x v="2"/>
    <x v="2"/>
    <n v="15"/>
    <n v="220.3"/>
    <s v="Store B"/>
    <x v="1"/>
    <n v="0.15"/>
    <x v="4"/>
    <n v="2808.8249999999998"/>
    <x v="3"/>
    <m/>
    <n v="0"/>
    <s v="REG100014"/>
    <s v="Cust 4548"/>
    <n v="39.659999999999997"/>
    <x v="14"/>
    <d v="2024-12-15T00:00:00"/>
    <s v="Ryan"/>
  </r>
  <r>
    <d v="2025-05-11T00:00:00"/>
    <x v="4"/>
    <x v="3"/>
    <n v="17"/>
    <n v="162.96"/>
    <s v="Store A"/>
    <x v="0"/>
    <n v="0.05"/>
    <x v="0"/>
    <n v="2631.8040000000001"/>
    <x v="1"/>
    <s v="FREESHIP"/>
    <n v="0"/>
    <s v="REG100015"/>
    <s v="Cust 7037"/>
    <n v="8.11"/>
    <x v="15"/>
    <d v="2025-05-17T00:00:00"/>
    <s v="Wendy"/>
  </r>
  <r>
    <d v="2023-02-26T00:00:00"/>
    <x v="4"/>
    <x v="0"/>
    <n v="19"/>
    <n v="236.11"/>
    <s v="Store D"/>
    <x v="0"/>
    <n v="0"/>
    <x v="5"/>
    <n v="4486.09"/>
    <x v="0"/>
    <s v="WINTER15"/>
    <n v="0"/>
    <s v="REG100016"/>
    <s v="Cust 4975"/>
    <n v="34.11"/>
    <x v="16"/>
    <d v="2023-03-04T00:00:00"/>
    <s v="Wendy"/>
  </r>
  <r>
    <d v="2024-05-28T00:00:00"/>
    <x v="3"/>
    <x v="2"/>
    <n v="11"/>
    <n v="573.14"/>
    <s v="Store D"/>
    <x v="1"/>
    <n v="0.05"/>
    <x v="4"/>
    <n v="5989.3130000000001"/>
    <x v="4"/>
    <s v="SAVE10"/>
    <n v="0"/>
    <s v="REG100017"/>
    <s v="Cust 8014"/>
    <n v="34.71"/>
    <x v="17"/>
    <d v="2024-06-01T00:00:00"/>
    <s v="Cameron"/>
  </r>
  <r>
    <d v="2023-11-30T00:00:00"/>
    <x v="0"/>
    <x v="1"/>
    <n v="20"/>
    <n v="519.04"/>
    <s v="Store B"/>
    <x v="1"/>
    <n v="0.15"/>
    <x v="3"/>
    <n v="8823.6799999999985"/>
    <x v="1"/>
    <s v="FREESHIP"/>
    <n v="0"/>
    <s v="REG100018"/>
    <s v="Cust 1228"/>
    <n v="19.43"/>
    <x v="18"/>
    <d v="2023-12-08T00:00:00"/>
    <s v="Eric"/>
  </r>
  <r>
    <d v="2023-06-22T00:00:00"/>
    <x v="4"/>
    <x v="2"/>
    <n v="14"/>
    <n v="30.83"/>
    <s v="Store B"/>
    <x v="1"/>
    <n v="0"/>
    <x v="3"/>
    <n v="431.62"/>
    <x v="0"/>
    <s v="WINTER15"/>
    <n v="1"/>
    <s v="REG100019"/>
    <s v="Cust 4247"/>
    <n v="7.1"/>
    <x v="19"/>
    <d v="2023-07-02T00:00:00"/>
    <s v="Wendy"/>
  </r>
  <r>
    <d v="2025-06-05T00:00:00"/>
    <x v="4"/>
    <x v="1"/>
    <n v="10"/>
    <n v="319.05"/>
    <s v="Store D"/>
    <x v="0"/>
    <n v="0"/>
    <x v="4"/>
    <n v="3190.5"/>
    <x v="0"/>
    <m/>
    <n v="0"/>
    <s v="REG100020"/>
    <s v="Cust 4199"/>
    <n v="28.43"/>
    <x v="20"/>
    <d v="2025-06-08T00:00:00"/>
    <s v="Wendy"/>
  </r>
  <r>
    <d v="2023-03-03T00:00:00"/>
    <x v="3"/>
    <x v="3"/>
    <n v="14"/>
    <n v="312.79000000000002"/>
    <s v="Store A"/>
    <x v="1"/>
    <n v="0.05"/>
    <x v="5"/>
    <n v="4160.107"/>
    <x v="0"/>
    <m/>
    <n v="1"/>
    <s v="REG100021"/>
    <s v="Cust 4186"/>
    <n v="46.83"/>
    <x v="21"/>
    <d v="2023-03-08T00:00:00"/>
    <s v="Cameron"/>
  </r>
  <r>
    <d v="2024-02-18T00:00:00"/>
    <x v="2"/>
    <x v="0"/>
    <n v="14"/>
    <n v="395.45"/>
    <s v="Store C"/>
    <x v="1"/>
    <n v="0"/>
    <x v="3"/>
    <n v="5536.3"/>
    <x v="4"/>
    <s v="FREESHIP"/>
    <n v="1"/>
    <s v="REG100022"/>
    <s v="Cust 8137"/>
    <n v="36.450000000000003"/>
    <x v="22"/>
    <d v="2024-02-22T00:00:00"/>
    <s v="Ryan"/>
  </r>
  <r>
    <d v="2023-08-06T00:00:00"/>
    <x v="3"/>
    <x v="0"/>
    <n v="12"/>
    <n v="472.72"/>
    <s v="Store D"/>
    <x v="1"/>
    <n v="0.15"/>
    <x v="4"/>
    <n v="4821.7440000000006"/>
    <x v="2"/>
    <m/>
    <n v="0"/>
    <s v="REG100023"/>
    <s v="Cust 4638"/>
    <n v="27.97"/>
    <x v="23"/>
    <d v="2023-08-14T00:00:00"/>
    <s v="Cameron"/>
  </r>
  <r>
    <d v="2024-05-23T00:00:00"/>
    <x v="2"/>
    <x v="2"/>
    <n v="5"/>
    <n v="288.01"/>
    <s v="Store A"/>
    <x v="0"/>
    <n v="0"/>
    <x v="0"/>
    <n v="1440.05"/>
    <x v="2"/>
    <s v="FREESHIP"/>
    <n v="0"/>
    <s v="REG100024"/>
    <s v="Cust 8538"/>
    <n v="46.69"/>
    <x v="24"/>
    <d v="2024-05-30T00:00:00"/>
    <s v="Ryan"/>
  </r>
  <r>
    <d v="2023-10-23T00:00:00"/>
    <x v="0"/>
    <x v="1"/>
    <n v="13"/>
    <n v="562.29"/>
    <s v="Store D"/>
    <x v="1"/>
    <n v="0"/>
    <x v="4"/>
    <n v="7309.77"/>
    <x v="1"/>
    <s v="SAVE10"/>
    <n v="0"/>
    <s v="REG100025"/>
    <s v="Cust 6322"/>
    <n v="38.130000000000003"/>
    <x v="25"/>
    <d v="2023-10-28T00:00:00"/>
    <s v="Eric"/>
  </r>
  <r>
    <d v="2025-06-16T00:00:00"/>
    <x v="4"/>
    <x v="1"/>
    <n v="1"/>
    <n v="101.73"/>
    <s v="Store D"/>
    <x v="1"/>
    <n v="0"/>
    <x v="2"/>
    <n v="101.73"/>
    <x v="3"/>
    <s v="WINTER15"/>
    <n v="0"/>
    <s v="REG100026"/>
    <s v="Cust 2609"/>
    <n v="11.59"/>
    <x v="26"/>
    <d v="2025-06-25T00:00:00"/>
    <s v="Wendy"/>
  </r>
  <r>
    <d v="2023-03-03T00:00:00"/>
    <x v="2"/>
    <x v="1"/>
    <n v="4"/>
    <n v="279.49"/>
    <s v="Store B"/>
    <x v="1"/>
    <n v="0"/>
    <x v="4"/>
    <n v="1117.96"/>
    <x v="2"/>
    <s v="FREESHIP"/>
    <n v="0"/>
    <s v="REG100027"/>
    <s v="Cust 6880"/>
    <n v="24.78"/>
    <x v="21"/>
    <d v="2023-03-08T00:00:00"/>
    <s v="Ryan"/>
  </r>
  <r>
    <d v="2024-11-18T00:00:00"/>
    <x v="1"/>
    <x v="0"/>
    <n v="1"/>
    <n v="178.55"/>
    <s v="Store A"/>
    <x v="1"/>
    <n v="0.15"/>
    <x v="3"/>
    <n v="151.76750000000001"/>
    <x v="3"/>
    <s v="SAVE10"/>
    <n v="1"/>
    <s v="REG100028"/>
    <s v="Cust 1997"/>
    <n v="7.61"/>
    <x v="27"/>
    <d v="2024-11-21T00:00:00"/>
    <s v="Sophie"/>
  </r>
  <r>
    <d v="2023-05-09T00:00:00"/>
    <x v="3"/>
    <x v="5"/>
    <n v="1"/>
    <n v="472.07"/>
    <s v="Store A"/>
    <x v="0"/>
    <n v="0.1"/>
    <x v="3"/>
    <n v="424.863"/>
    <x v="0"/>
    <s v="FREESHIP"/>
    <n v="0"/>
    <s v="REG100029"/>
    <s v="Cust 7072"/>
    <n v="33.17"/>
    <x v="28"/>
    <d v="2023-05-17T00:00:00"/>
    <s v="Cameron"/>
  </r>
  <r>
    <d v="2024-12-07T00:00:00"/>
    <x v="2"/>
    <x v="5"/>
    <n v="12"/>
    <n v="306.29000000000002"/>
    <s v="Store D"/>
    <x v="1"/>
    <n v="0"/>
    <x v="2"/>
    <n v="3675.48"/>
    <x v="3"/>
    <s v="SAVE10"/>
    <n v="0"/>
    <s v="REG100030"/>
    <s v="Cust 7201"/>
    <n v="37.380000000000003"/>
    <x v="29"/>
    <d v="2024-12-14T00:00:00"/>
    <s v="Ryan"/>
  </r>
  <r>
    <d v="2024-02-13T00:00:00"/>
    <x v="2"/>
    <x v="1"/>
    <n v="7"/>
    <n v="434.77"/>
    <s v="Store C"/>
    <x v="1"/>
    <n v="0.15"/>
    <x v="2"/>
    <n v="2586.8815"/>
    <x v="0"/>
    <s v="SAVE10"/>
    <n v="0"/>
    <s v="REG100031"/>
    <s v="Cust 9923"/>
    <n v="12.35"/>
    <x v="30"/>
    <d v="2024-02-15T00:00:00"/>
    <s v="Ryan"/>
  </r>
  <r>
    <d v="2025-03-09T00:00:00"/>
    <x v="1"/>
    <x v="2"/>
    <n v="6"/>
    <n v="64.98"/>
    <s v="Store C"/>
    <x v="1"/>
    <n v="0"/>
    <x v="3"/>
    <n v="389.88"/>
    <x v="3"/>
    <s v="WINTER15"/>
    <n v="0"/>
    <s v="REG100032"/>
    <s v="Cust 2205"/>
    <n v="21.25"/>
    <x v="31"/>
    <d v="2025-03-15T00:00:00"/>
    <s v="Sophie"/>
  </r>
  <r>
    <d v="2023-04-05T00:00:00"/>
    <x v="3"/>
    <x v="2"/>
    <n v="17"/>
    <n v="476.49"/>
    <s v="Store D"/>
    <x v="1"/>
    <n v="0"/>
    <x v="1"/>
    <n v="8100.33"/>
    <x v="1"/>
    <m/>
    <n v="0"/>
    <s v="REG100033"/>
    <s v="Cust 6403"/>
    <n v="17.91"/>
    <x v="32"/>
    <d v="2023-04-11T00:00:00"/>
    <s v="Cameron"/>
  </r>
  <r>
    <d v="2025-05-08T00:00:00"/>
    <x v="2"/>
    <x v="4"/>
    <n v="4"/>
    <n v="559.72"/>
    <s v="Store D"/>
    <x v="1"/>
    <n v="0.15"/>
    <x v="4"/>
    <n v="1903.048"/>
    <x v="0"/>
    <s v="SAVE10"/>
    <n v="0"/>
    <s v="REG100034"/>
    <s v="Cust 3953"/>
    <n v="41.91"/>
    <x v="33"/>
    <d v="2025-05-12T00:00:00"/>
    <s v="Ryan"/>
  </r>
  <r>
    <d v="2023-09-03T00:00:00"/>
    <x v="2"/>
    <x v="5"/>
    <n v="14"/>
    <n v="82.14"/>
    <s v="Store C"/>
    <x v="1"/>
    <n v="0"/>
    <x v="1"/>
    <n v="1149.96"/>
    <x v="2"/>
    <m/>
    <n v="0"/>
    <s v="REG100035"/>
    <s v="Cust 7902"/>
    <n v="12.57"/>
    <x v="34"/>
    <d v="2023-09-11T00:00:00"/>
    <s v="Ryan"/>
  </r>
  <r>
    <d v="2025-03-21T00:00:00"/>
    <x v="3"/>
    <x v="3"/>
    <n v="9"/>
    <n v="343.21"/>
    <s v="Store A"/>
    <x v="1"/>
    <n v="0.05"/>
    <x v="3"/>
    <n v="2934.4454999999998"/>
    <x v="3"/>
    <s v="FREESHIP"/>
    <n v="0"/>
    <s v="REG100036"/>
    <s v="Cust 9968"/>
    <n v="40.29"/>
    <x v="35"/>
    <d v="2025-03-28T00:00:00"/>
    <s v="Cameron"/>
  </r>
  <r>
    <d v="2025-06-20T00:00:00"/>
    <x v="1"/>
    <x v="3"/>
    <n v="7"/>
    <n v="301.01"/>
    <s v="Store B"/>
    <x v="1"/>
    <n v="0.15"/>
    <x v="4"/>
    <n v="1791.0094999999999"/>
    <x v="4"/>
    <s v="SAVE10"/>
    <n v="1"/>
    <s v="REG100037"/>
    <s v="Cust 3787"/>
    <n v="34.97"/>
    <x v="36"/>
    <d v="2025-06-30T00:00:00"/>
    <s v="Sophie"/>
  </r>
  <r>
    <d v="2024-02-15T00:00:00"/>
    <x v="3"/>
    <x v="6"/>
    <n v="14"/>
    <n v="428.13"/>
    <s v="Store C"/>
    <x v="1"/>
    <n v="0.1"/>
    <x v="5"/>
    <n v="5394.4380000000001"/>
    <x v="4"/>
    <m/>
    <n v="1"/>
    <s v="REG100038"/>
    <s v="Cust 2469"/>
    <n v="24.77"/>
    <x v="37"/>
    <d v="2024-02-25T00:00:00"/>
    <s v="Cameron"/>
  </r>
  <r>
    <d v="2023-06-09T00:00:00"/>
    <x v="3"/>
    <x v="0"/>
    <n v="2"/>
    <n v="503.28"/>
    <s v="Store D"/>
    <x v="1"/>
    <n v="0.15"/>
    <x v="1"/>
    <n v="855.57599999999991"/>
    <x v="1"/>
    <m/>
    <n v="0"/>
    <s v="REG100039"/>
    <s v="Cust 6468"/>
    <n v="34.79"/>
    <x v="38"/>
    <d v="2023-06-17T00:00:00"/>
    <s v="Cameron"/>
  </r>
  <r>
    <d v="2023-08-10T00:00:00"/>
    <x v="1"/>
    <x v="6"/>
    <n v="5"/>
    <n v="470.32"/>
    <s v="Store A"/>
    <x v="1"/>
    <n v="0.1"/>
    <x v="0"/>
    <n v="2116.44"/>
    <x v="3"/>
    <s v="SAVE10"/>
    <n v="0"/>
    <s v="REG100040"/>
    <s v="Cust 5312"/>
    <n v="17.77"/>
    <x v="39"/>
    <d v="2023-08-14T00:00:00"/>
    <s v="Sophie"/>
  </r>
  <r>
    <d v="2024-06-16T00:00:00"/>
    <x v="3"/>
    <x v="6"/>
    <n v="20"/>
    <n v="65.17"/>
    <s v="Store C"/>
    <x v="0"/>
    <n v="0.05"/>
    <x v="0"/>
    <n v="1238.23"/>
    <x v="1"/>
    <s v="FREESHIP"/>
    <n v="0"/>
    <s v="REG100041"/>
    <s v="Cust 1482"/>
    <n v="21.72"/>
    <x v="40"/>
    <d v="2024-06-25T00:00:00"/>
    <s v="Cameron"/>
  </r>
  <r>
    <d v="2023-07-23T00:00:00"/>
    <x v="1"/>
    <x v="0"/>
    <n v="12"/>
    <n v="36.17"/>
    <s v="Store A"/>
    <x v="1"/>
    <n v="0"/>
    <x v="0"/>
    <n v="434.04"/>
    <x v="0"/>
    <s v="WINTER15"/>
    <n v="0"/>
    <s v="REG100042"/>
    <s v="Cust 7903"/>
    <n v="34.85"/>
    <x v="41"/>
    <d v="2023-07-26T00:00:00"/>
    <s v="Sophie"/>
  </r>
  <r>
    <d v="2023-05-20T00:00:00"/>
    <x v="3"/>
    <x v="6"/>
    <n v="4"/>
    <n v="459.31"/>
    <s v="Store D"/>
    <x v="0"/>
    <n v="0.15"/>
    <x v="3"/>
    <n v="1561.654"/>
    <x v="1"/>
    <s v="WINTER15"/>
    <n v="1"/>
    <s v="REG100043"/>
    <s v="Cust 9605"/>
    <n v="27.39"/>
    <x v="42"/>
    <d v="2023-05-27T00:00:00"/>
    <s v="Cameron"/>
  </r>
  <r>
    <d v="2023-06-30T00:00:00"/>
    <x v="1"/>
    <x v="0"/>
    <n v="2"/>
    <n v="416.06"/>
    <s v="Store D"/>
    <x v="1"/>
    <n v="0.05"/>
    <x v="0"/>
    <n v="790.51400000000001"/>
    <x v="3"/>
    <s v="SAVE10"/>
    <n v="0"/>
    <s v="REG100044"/>
    <s v="Cust 3298"/>
    <n v="11.62"/>
    <x v="43"/>
    <d v="2023-07-04T00:00:00"/>
    <s v="Sophie"/>
  </r>
  <r>
    <d v="2024-06-04T00:00:00"/>
    <x v="1"/>
    <x v="5"/>
    <n v="16"/>
    <n v="302.58"/>
    <s v="Store D"/>
    <x v="1"/>
    <n v="0"/>
    <x v="1"/>
    <n v="4841.28"/>
    <x v="0"/>
    <s v="WINTER15"/>
    <n v="1"/>
    <s v="REG100045"/>
    <s v="Cust 5533"/>
    <n v="20.76"/>
    <x v="44"/>
    <d v="2024-06-14T00:00:00"/>
    <s v="Sophie"/>
  </r>
  <r>
    <d v="2025-02-03T00:00:00"/>
    <x v="4"/>
    <x v="3"/>
    <n v="11"/>
    <n v="33.130000000000003"/>
    <s v="Store A"/>
    <x v="1"/>
    <n v="0.15"/>
    <x v="2"/>
    <n v="309.76549999999997"/>
    <x v="0"/>
    <s v="FREESHIP"/>
    <n v="0"/>
    <s v="REG100046"/>
    <s v="Cust 6362"/>
    <n v="24.95"/>
    <x v="45"/>
    <d v="2025-02-05T00:00:00"/>
    <s v="Wendy"/>
  </r>
  <r>
    <d v="2024-01-09T00:00:00"/>
    <x v="0"/>
    <x v="5"/>
    <n v="8"/>
    <n v="582.52"/>
    <s v="Store D"/>
    <x v="1"/>
    <n v="0.15"/>
    <x v="2"/>
    <n v="3961.136"/>
    <x v="1"/>
    <s v="WINTER15"/>
    <n v="0"/>
    <s v="REG100047"/>
    <s v="Cust 4826"/>
    <n v="6.47"/>
    <x v="46"/>
    <d v="2024-01-13T00:00:00"/>
    <s v="Eric"/>
  </r>
  <r>
    <d v="2024-03-14T00:00:00"/>
    <x v="2"/>
    <x v="2"/>
    <n v="5"/>
    <n v="165.15"/>
    <s v="Store A"/>
    <x v="1"/>
    <n v="0.1"/>
    <x v="0"/>
    <n v="743.17500000000007"/>
    <x v="1"/>
    <m/>
    <n v="0"/>
    <s v="REG100048"/>
    <s v="Cust 2171"/>
    <n v="20.57"/>
    <x v="47"/>
    <d v="2024-03-16T00:00:00"/>
    <s v="Ryan"/>
  </r>
  <r>
    <d v="2024-09-06T00:00:00"/>
    <x v="4"/>
    <x v="4"/>
    <n v="14"/>
    <n v="242.82"/>
    <s v="Store D"/>
    <x v="0"/>
    <n v="0.15"/>
    <x v="1"/>
    <n v="2889.558"/>
    <x v="4"/>
    <s v="WINTER15"/>
    <n v="1"/>
    <s v="REG100049"/>
    <s v="Cust 4005"/>
    <n v="20.71"/>
    <x v="48"/>
    <d v="2024-09-13T00:00:00"/>
    <s v="Wendy"/>
  </r>
  <r>
    <d v="2023-03-17T00:00:00"/>
    <x v="0"/>
    <x v="4"/>
    <n v="13"/>
    <n v="65.989999999999995"/>
    <s v="Store A"/>
    <x v="0"/>
    <n v="0.1"/>
    <x v="2"/>
    <n v="772.08299999999997"/>
    <x v="4"/>
    <s v="WINTER15"/>
    <n v="0"/>
    <s v="REG100050"/>
    <s v="Cust 7032"/>
    <n v="12.87"/>
    <x v="49"/>
    <d v="2023-03-20T00:00:00"/>
    <s v="Eric"/>
  </r>
  <r>
    <d v="2025-01-17T00:00:00"/>
    <x v="4"/>
    <x v="3"/>
    <n v="2"/>
    <n v="251.69"/>
    <s v="Store C"/>
    <x v="0"/>
    <n v="0"/>
    <x v="1"/>
    <n v="503.38"/>
    <x v="3"/>
    <s v="FREESHIP"/>
    <n v="0"/>
    <s v="REG100051"/>
    <s v="Cust 7167"/>
    <n v="42.49"/>
    <x v="50"/>
    <d v="2025-01-24T00:00:00"/>
    <s v="Wendy"/>
  </r>
  <r>
    <d v="2024-09-12T00:00:00"/>
    <x v="1"/>
    <x v="0"/>
    <n v="1"/>
    <n v="269.41000000000003"/>
    <s v="Store B"/>
    <x v="0"/>
    <n v="0.1"/>
    <x v="0"/>
    <n v="242.46899999999999"/>
    <x v="4"/>
    <s v="WINTER15"/>
    <n v="1"/>
    <s v="REG100052"/>
    <s v="Cust 5702"/>
    <n v="19.22"/>
    <x v="51"/>
    <d v="2024-09-18T00:00:00"/>
    <s v="Sophie"/>
  </r>
  <r>
    <d v="2024-01-05T00:00:00"/>
    <x v="1"/>
    <x v="4"/>
    <n v="2"/>
    <n v="371.3"/>
    <s v="Store B"/>
    <x v="0"/>
    <n v="0.05"/>
    <x v="5"/>
    <n v="705.47"/>
    <x v="2"/>
    <s v="SAVE10"/>
    <n v="0"/>
    <s v="REG100053"/>
    <s v="Cust 4944"/>
    <n v="36.51"/>
    <x v="52"/>
    <d v="2024-01-15T00:00:00"/>
    <s v="Sophie"/>
  </r>
  <r>
    <d v="2024-04-19T00:00:00"/>
    <x v="4"/>
    <x v="5"/>
    <n v="11"/>
    <n v="288.24"/>
    <s v="Store A"/>
    <x v="0"/>
    <n v="0.15"/>
    <x v="4"/>
    <n v="2695.0439999999999"/>
    <x v="0"/>
    <m/>
    <n v="0"/>
    <s v="REG100054"/>
    <s v="Cust 8149"/>
    <n v="37.39"/>
    <x v="53"/>
    <d v="2024-04-25T00:00:00"/>
    <s v="Wendy"/>
  </r>
  <r>
    <d v="2025-06-11T00:00:00"/>
    <x v="3"/>
    <x v="5"/>
    <n v="11"/>
    <n v="232.75"/>
    <s v="Store D"/>
    <x v="0"/>
    <n v="0.05"/>
    <x v="0"/>
    <n v="2432.2375000000002"/>
    <x v="2"/>
    <s v="SAVE10"/>
    <n v="0"/>
    <s v="REG100055"/>
    <s v="Cust 3638"/>
    <n v="36.33"/>
    <x v="54"/>
    <d v="2025-06-21T00:00:00"/>
    <s v="Cameron"/>
  </r>
  <r>
    <d v="2025-03-06T00:00:00"/>
    <x v="0"/>
    <x v="1"/>
    <n v="17"/>
    <n v="146.28"/>
    <s v="Store B"/>
    <x v="1"/>
    <n v="0.15"/>
    <x v="3"/>
    <n v="2113.7460000000001"/>
    <x v="4"/>
    <s v="SAVE10"/>
    <n v="0"/>
    <s v="REG100056"/>
    <s v="Cust 9973"/>
    <n v="7.84"/>
    <x v="55"/>
    <d v="2025-03-15T00:00:00"/>
    <s v="Eric"/>
  </r>
  <r>
    <d v="2023-05-24T00:00:00"/>
    <x v="0"/>
    <x v="3"/>
    <n v="5"/>
    <n v="100.38"/>
    <s v="Store C"/>
    <x v="1"/>
    <n v="0.1"/>
    <x v="0"/>
    <n v="451.71"/>
    <x v="1"/>
    <s v="WINTER15"/>
    <n v="1"/>
    <s v="REG100057"/>
    <s v="Cust 4214"/>
    <n v="18.350000000000001"/>
    <x v="56"/>
    <d v="2023-05-26T00:00:00"/>
    <s v="Eric"/>
  </r>
  <r>
    <d v="2023-01-27T00:00:00"/>
    <x v="1"/>
    <x v="1"/>
    <n v="11"/>
    <n v="375.48"/>
    <s v="Store B"/>
    <x v="1"/>
    <n v="0.05"/>
    <x v="5"/>
    <n v="3923.766000000001"/>
    <x v="3"/>
    <s v="WINTER15"/>
    <n v="0"/>
    <s v="REG100058"/>
    <s v="Cust 2647"/>
    <n v="15.95"/>
    <x v="57"/>
    <d v="2023-02-03T00:00:00"/>
    <s v="Sophie"/>
  </r>
  <r>
    <d v="2024-03-21T00:00:00"/>
    <x v="1"/>
    <x v="0"/>
    <n v="18"/>
    <n v="316.89"/>
    <s v="Store B"/>
    <x v="0"/>
    <n v="0.05"/>
    <x v="5"/>
    <n v="5418.8190000000004"/>
    <x v="4"/>
    <s v="FREESHIP"/>
    <n v="0"/>
    <s v="REG100059"/>
    <s v="Cust 3552"/>
    <n v="15.69"/>
    <x v="58"/>
    <d v="2024-03-27T00:00:00"/>
    <s v="Sophie"/>
  </r>
  <r>
    <d v="2025-01-25T00:00:00"/>
    <x v="4"/>
    <x v="0"/>
    <n v="20"/>
    <n v="295.06"/>
    <s v="Store D"/>
    <x v="1"/>
    <n v="0.15"/>
    <x v="2"/>
    <n v="5016.0200000000004"/>
    <x v="0"/>
    <s v="SAVE10"/>
    <n v="1"/>
    <s v="REG100060"/>
    <s v="Cust 3354"/>
    <n v="13.66"/>
    <x v="59"/>
    <d v="2025-01-31T00:00:00"/>
    <s v="Wendy"/>
  </r>
  <r>
    <d v="2023-06-12T00:00:00"/>
    <x v="3"/>
    <x v="1"/>
    <n v="8"/>
    <n v="301.68"/>
    <s v="Store D"/>
    <x v="1"/>
    <n v="0"/>
    <x v="0"/>
    <n v="2413.44"/>
    <x v="4"/>
    <s v="SAVE10"/>
    <n v="0"/>
    <s v="REG100061"/>
    <s v="Cust 3903"/>
    <n v="36.54"/>
    <x v="60"/>
    <d v="2023-06-21T00:00:00"/>
    <s v="Cameron"/>
  </r>
  <r>
    <d v="2025-03-22T00:00:00"/>
    <x v="3"/>
    <x v="3"/>
    <n v="3"/>
    <n v="475.39"/>
    <s v="Store B"/>
    <x v="1"/>
    <n v="0.1"/>
    <x v="1"/>
    <n v="1283.5530000000001"/>
    <x v="1"/>
    <m/>
    <n v="0"/>
    <s v="REG100062"/>
    <s v="Cust 5358"/>
    <n v="15.62"/>
    <x v="61"/>
    <d v="2025-03-26T00:00:00"/>
    <s v="Cameron"/>
  </r>
  <r>
    <d v="2024-02-24T00:00:00"/>
    <x v="3"/>
    <x v="2"/>
    <n v="16"/>
    <n v="47.25"/>
    <s v="Store D"/>
    <x v="1"/>
    <n v="0.15"/>
    <x v="5"/>
    <n v="642.6"/>
    <x v="3"/>
    <s v="FREESHIP"/>
    <n v="0"/>
    <s v="REG100063"/>
    <s v="Cust 8144"/>
    <n v="29.5"/>
    <x v="62"/>
    <d v="2024-02-27T00:00:00"/>
    <s v="Cameron"/>
  </r>
  <r>
    <d v="2023-12-09T00:00:00"/>
    <x v="1"/>
    <x v="3"/>
    <n v="15"/>
    <n v="511.17"/>
    <s v="Store B"/>
    <x v="0"/>
    <n v="0"/>
    <x v="2"/>
    <n v="7667.55"/>
    <x v="0"/>
    <s v="FREESHIP"/>
    <n v="0"/>
    <s v="REG100064"/>
    <s v="Cust 6747"/>
    <n v="21.77"/>
    <x v="63"/>
    <d v="2023-12-12T00:00:00"/>
    <s v="Sophie"/>
  </r>
  <r>
    <d v="2023-10-01T00:00:00"/>
    <x v="3"/>
    <x v="4"/>
    <n v="3"/>
    <n v="66.58"/>
    <s v="Store B"/>
    <x v="1"/>
    <n v="0.1"/>
    <x v="2"/>
    <n v="179.76599999999999"/>
    <x v="3"/>
    <s v="FREESHIP"/>
    <n v="0"/>
    <s v="REG100065"/>
    <s v="Cust 8330"/>
    <n v="22.43"/>
    <x v="64"/>
    <d v="2023-10-05T00:00:00"/>
    <s v="Cameron"/>
  </r>
  <r>
    <d v="2023-07-31T00:00:00"/>
    <x v="4"/>
    <x v="5"/>
    <n v="5"/>
    <n v="490.52"/>
    <s v="Store D"/>
    <x v="0"/>
    <n v="0.05"/>
    <x v="2"/>
    <n v="2329.9699999999998"/>
    <x v="0"/>
    <m/>
    <n v="0"/>
    <s v="REG100066"/>
    <s v="Cust 7186"/>
    <n v="12.24"/>
    <x v="65"/>
    <d v="2023-08-07T00:00:00"/>
    <s v="Wendy"/>
  </r>
  <r>
    <d v="2024-12-24T00:00:00"/>
    <x v="1"/>
    <x v="3"/>
    <n v="8"/>
    <n v="405.96"/>
    <s v="Store A"/>
    <x v="0"/>
    <n v="0.05"/>
    <x v="3"/>
    <n v="3085.2959999999998"/>
    <x v="2"/>
    <s v="WINTER15"/>
    <n v="0"/>
    <s v="REG100067"/>
    <s v="Cust 8287"/>
    <n v="41.27"/>
    <x v="66"/>
    <d v="2024-12-31T00:00:00"/>
    <s v="Sophie"/>
  </r>
  <r>
    <d v="2024-11-15T00:00:00"/>
    <x v="2"/>
    <x v="1"/>
    <n v="1"/>
    <n v="159.41"/>
    <s v="Store B"/>
    <x v="1"/>
    <n v="0.1"/>
    <x v="5"/>
    <n v="143.46899999999999"/>
    <x v="2"/>
    <s v="FREESHIP"/>
    <n v="0"/>
    <s v="REG100068"/>
    <s v="Cust 3986"/>
    <n v="35.14"/>
    <x v="67"/>
    <d v="2024-11-19T00:00:00"/>
    <s v="Ryan"/>
  </r>
  <r>
    <d v="2025-03-13T00:00:00"/>
    <x v="4"/>
    <x v="4"/>
    <n v="16"/>
    <n v="38.49"/>
    <s v="Store C"/>
    <x v="1"/>
    <n v="0.15"/>
    <x v="3"/>
    <n v="523.46400000000006"/>
    <x v="3"/>
    <s v="SAVE10"/>
    <n v="0"/>
    <s v="REG100069"/>
    <s v="Cust 3213"/>
    <n v="8.3800000000000008"/>
    <x v="68"/>
    <d v="2025-03-22T00:00:00"/>
    <s v="Wendy"/>
  </r>
  <r>
    <d v="2024-03-03T00:00:00"/>
    <x v="0"/>
    <x v="5"/>
    <n v="15"/>
    <n v="328.36"/>
    <s v="Store D"/>
    <x v="1"/>
    <n v="0.15"/>
    <x v="1"/>
    <n v="4186.59"/>
    <x v="1"/>
    <s v="WINTER15"/>
    <n v="0"/>
    <s v="REG100070"/>
    <s v="Cust 1907"/>
    <n v="15.76"/>
    <x v="69"/>
    <d v="2024-03-12T00:00:00"/>
    <s v="Eric"/>
  </r>
  <r>
    <d v="2023-02-11T00:00:00"/>
    <x v="3"/>
    <x v="5"/>
    <n v="20"/>
    <n v="548.01"/>
    <s v="Store A"/>
    <x v="0"/>
    <n v="0.1"/>
    <x v="0"/>
    <n v="9864.18"/>
    <x v="2"/>
    <s v="WINTER15"/>
    <n v="1"/>
    <s v="REG100071"/>
    <s v="Cust 4639"/>
    <n v="5.89"/>
    <x v="70"/>
    <d v="2023-02-14T00:00:00"/>
    <s v="Cameron"/>
  </r>
  <r>
    <d v="2023-10-26T00:00:00"/>
    <x v="1"/>
    <x v="2"/>
    <n v="13"/>
    <n v="484.45"/>
    <s v="Store B"/>
    <x v="0"/>
    <n v="0.05"/>
    <x v="3"/>
    <n v="5982.9575000000004"/>
    <x v="1"/>
    <s v="WINTER15"/>
    <n v="1"/>
    <s v="REG100072"/>
    <s v="Cust 4153"/>
    <n v="6.57"/>
    <x v="71"/>
    <d v="2023-11-05T00:00:00"/>
    <s v="Sophie"/>
  </r>
  <r>
    <d v="2023-10-21T00:00:00"/>
    <x v="1"/>
    <x v="4"/>
    <n v="13"/>
    <n v="195.84"/>
    <s v="Store A"/>
    <x v="0"/>
    <n v="0.05"/>
    <x v="1"/>
    <n v="2418.6239999999998"/>
    <x v="2"/>
    <m/>
    <n v="0"/>
    <s v="REG100073"/>
    <s v="Cust 7096"/>
    <n v="33.520000000000003"/>
    <x v="72"/>
    <d v="2023-10-28T00:00:00"/>
    <s v="Sophie"/>
  </r>
  <r>
    <d v="2024-01-14T00:00:00"/>
    <x v="3"/>
    <x v="5"/>
    <n v="19"/>
    <n v="29.94"/>
    <s v="Store D"/>
    <x v="1"/>
    <n v="0.15"/>
    <x v="4"/>
    <n v="483.53100000000001"/>
    <x v="3"/>
    <s v="FREESHIP"/>
    <n v="0"/>
    <s v="REG100074"/>
    <s v="Cust 3806"/>
    <n v="33.590000000000003"/>
    <x v="73"/>
    <d v="2024-01-20T00:00:00"/>
    <s v="Cameron"/>
  </r>
  <r>
    <d v="2023-07-27T00:00:00"/>
    <x v="3"/>
    <x v="2"/>
    <n v="10"/>
    <n v="553.91"/>
    <s v="Store D"/>
    <x v="0"/>
    <n v="0.1"/>
    <x v="0"/>
    <n v="4985.1899999999996"/>
    <x v="0"/>
    <m/>
    <n v="0"/>
    <s v="REG100075"/>
    <s v="Cust 9345"/>
    <n v="31.3"/>
    <x v="74"/>
    <d v="2023-07-31T00:00:00"/>
    <s v="Cameron"/>
  </r>
  <r>
    <d v="2024-10-23T00:00:00"/>
    <x v="1"/>
    <x v="1"/>
    <n v="14"/>
    <n v="445.52"/>
    <s v="Store B"/>
    <x v="1"/>
    <n v="0.1"/>
    <x v="5"/>
    <n v="5613.5519999999997"/>
    <x v="0"/>
    <s v="SAVE10"/>
    <n v="0"/>
    <s v="REG100076"/>
    <s v="Cust 4456"/>
    <n v="14.41"/>
    <x v="75"/>
    <d v="2024-10-25T00:00:00"/>
    <s v="Sophie"/>
  </r>
  <r>
    <d v="2023-09-26T00:00:00"/>
    <x v="1"/>
    <x v="3"/>
    <n v="5"/>
    <n v="551.58000000000004"/>
    <s v="Store B"/>
    <x v="1"/>
    <n v="0.15"/>
    <x v="1"/>
    <n v="2344.2150000000001"/>
    <x v="0"/>
    <s v="WINTER15"/>
    <n v="1"/>
    <s v="REG100077"/>
    <s v="Cust 1089"/>
    <n v="7.87"/>
    <x v="76"/>
    <d v="2023-10-01T00:00:00"/>
    <s v="Sophie"/>
  </r>
  <r>
    <d v="2023-12-16T00:00:00"/>
    <x v="0"/>
    <x v="1"/>
    <n v="13"/>
    <n v="241.4"/>
    <s v="Store D"/>
    <x v="1"/>
    <n v="0"/>
    <x v="3"/>
    <n v="3138.2"/>
    <x v="1"/>
    <s v="SAVE10"/>
    <n v="0"/>
    <s v="REG100078"/>
    <s v="Cust 7230"/>
    <n v="49.05"/>
    <x v="77"/>
    <d v="2023-12-20T00:00:00"/>
    <s v="Eric"/>
  </r>
  <r>
    <d v="2024-01-02T00:00:00"/>
    <x v="3"/>
    <x v="6"/>
    <n v="19"/>
    <n v="351.93"/>
    <s v="Store A"/>
    <x v="0"/>
    <n v="0"/>
    <x v="1"/>
    <n v="6686.67"/>
    <x v="2"/>
    <m/>
    <n v="0"/>
    <s v="REG100079"/>
    <s v="Cust 6597"/>
    <n v="39.979999999999997"/>
    <x v="78"/>
    <d v="2024-01-05T00:00:00"/>
    <s v="Cameron"/>
  </r>
  <r>
    <d v="2024-02-16T00:00:00"/>
    <x v="2"/>
    <x v="1"/>
    <n v="4"/>
    <n v="83.75"/>
    <s v="Store A"/>
    <x v="1"/>
    <n v="0.05"/>
    <x v="1"/>
    <n v="318.25"/>
    <x v="3"/>
    <s v="SAVE10"/>
    <n v="1"/>
    <s v="REG100080"/>
    <s v="Cust 4108"/>
    <n v="38.82"/>
    <x v="79"/>
    <d v="2024-02-25T00:00:00"/>
    <s v="Ryan"/>
  </r>
  <r>
    <d v="2024-05-03T00:00:00"/>
    <x v="0"/>
    <x v="4"/>
    <n v="5"/>
    <n v="416.95"/>
    <s v="Store A"/>
    <x v="0"/>
    <n v="0.15"/>
    <x v="2"/>
    <n v="1772.0374999999999"/>
    <x v="0"/>
    <m/>
    <n v="1"/>
    <s v="REG100081"/>
    <s v="Cust 2883"/>
    <n v="24.03"/>
    <x v="80"/>
    <d v="2024-05-12T00:00:00"/>
    <s v="Eric"/>
  </r>
  <r>
    <d v="2023-05-27T00:00:00"/>
    <x v="4"/>
    <x v="4"/>
    <n v="18"/>
    <n v="142.43"/>
    <s v="Store C"/>
    <x v="1"/>
    <n v="0.05"/>
    <x v="5"/>
    <n v="2435.5529999999999"/>
    <x v="2"/>
    <s v="SAVE10"/>
    <n v="1"/>
    <s v="REG100082"/>
    <s v="Cust 5018"/>
    <n v="12.38"/>
    <x v="81"/>
    <d v="2023-06-02T00:00:00"/>
    <s v="Wendy"/>
  </r>
  <r>
    <d v="2023-01-05T00:00:00"/>
    <x v="0"/>
    <x v="2"/>
    <n v="12"/>
    <n v="582.52"/>
    <s v="Store A"/>
    <x v="0"/>
    <n v="0"/>
    <x v="5"/>
    <n v="6990.24"/>
    <x v="2"/>
    <s v="FREESHIP"/>
    <n v="0"/>
    <s v="REG100083"/>
    <s v="Cust 1231"/>
    <n v="41.16"/>
    <x v="82"/>
    <d v="2023-01-11T00:00:00"/>
    <s v="Eric"/>
  </r>
  <r>
    <d v="2025-05-21T00:00:00"/>
    <x v="0"/>
    <x v="3"/>
    <n v="20"/>
    <n v="129.56"/>
    <s v="Store A"/>
    <x v="1"/>
    <n v="0.15"/>
    <x v="4"/>
    <n v="2202.52"/>
    <x v="0"/>
    <s v="WINTER15"/>
    <n v="0"/>
    <s v="REG100084"/>
    <s v="Cust 2209"/>
    <n v="40.21"/>
    <x v="83"/>
    <d v="2025-05-23T00:00:00"/>
    <s v="Eric"/>
  </r>
  <r>
    <d v="2023-07-21T00:00:00"/>
    <x v="3"/>
    <x v="5"/>
    <n v="17"/>
    <n v="431.82"/>
    <s v="Store B"/>
    <x v="1"/>
    <n v="0"/>
    <x v="0"/>
    <n v="7340.94"/>
    <x v="1"/>
    <s v="FREESHIP"/>
    <n v="1"/>
    <s v="REG100085"/>
    <s v="Cust 6684"/>
    <n v="37.75"/>
    <x v="12"/>
    <d v="2023-07-25T00:00:00"/>
    <s v="Cameron"/>
  </r>
  <r>
    <d v="2025-05-25T00:00:00"/>
    <x v="0"/>
    <x v="0"/>
    <n v="15"/>
    <n v="15.85"/>
    <s v="Store C"/>
    <x v="1"/>
    <n v="0"/>
    <x v="5"/>
    <n v="237.75"/>
    <x v="3"/>
    <s v="WINTER15"/>
    <n v="0"/>
    <s v="REG100086"/>
    <s v="Cust 5289"/>
    <n v="23.49"/>
    <x v="84"/>
    <d v="2025-06-03T00:00:00"/>
    <s v="Eric"/>
  </r>
  <r>
    <d v="2024-11-16T00:00:00"/>
    <x v="1"/>
    <x v="5"/>
    <n v="20"/>
    <n v="548.34"/>
    <s v="Store B"/>
    <x v="1"/>
    <n v="0.1"/>
    <x v="5"/>
    <n v="9870.1200000000008"/>
    <x v="1"/>
    <s v="WINTER15"/>
    <n v="0"/>
    <s v="REG100087"/>
    <s v="Cust 9159"/>
    <n v="33.47"/>
    <x v="85"/>
    <d v="2024-11-22T00:00:00"/>
    <s v="Sophie"/>
  </r>
  <r>
    <d v="2023-11-19T00:00:00"/>
    <x v="2"/>
    <x v="0"/>
    <n v="16"/>
    <n v="525.83000000000004"/>
    <s v="Store C"/>
    <x v="0"/>
    <n v="0.05"/>
    <x v="2"/>
    <n v="7992.616"/>
    <x v="0"/>
    <m/>
    <n v="0"/>
    <s v="REG100088"/>
    <s v="Cust 4844"/>
    <n v="36.47"/>
    <x v="86"/>
    <d v="2023-11-25T00:00:00"/>
    <s v="Ryan"/>
  </r>
  <r>
    <d v="2025-01-12T00:00:00"/>
    <x v="3"/>
    <x v="0"/>
    <n v="15"/>
    <n v="411.38"/>
    <s v="Store A"/>
    <x v="0"/>
    <n v="0.05"/>
    <x v="5"/>
    <n v="5862.165"/>
    <x v="0"/>
    <s v="SAVE10"/>
    <n v="0"/>
    <s v="REG100089"/>
    <s v="Cust 3273"/>
    <n v="48.51"/>
    <x v="87"/>
    <d v="2025-01-21T00:00:00"/>
    <s v="Cameron"/>
  </r>
  <r>
    <d v="2023-03-29T00:00:00"/>
    <x v="2"/>
    <x v="4"/>
    <n v="19"/>
    <n v="559.95000000000005"/>
    <s v="Store A"/>
    <x v="0"/>
    <n v="0.1"/>
    <x v="3"/>
    <n v="9575.1450000000004"/>
    <x v="2"/>
    <s v="WINTER15"/>
    <n v="0"/>
    <s v="REG100090"/>
    <s v="Cust 8160"/>
    <n v="18.3"/>
    <x v="88"/>
    <d v="2023-04-03T00:00:00"/>
    <s v="Ryan"/>
  </r>
  <r>
    <d v="2025-03-01T00:00:00"/>
    <x v="2"/>
    <x v="2"/>
    <n v="8"/>
    <n v="179.9"/>
    <s v="Store C"/>
    <x v="1"/>
    <n v="0.05"/>
    <x v="3"/>
    <n v="1367.24"/>
    <x v="0"/>
    <s v="SAVE10"/>
    <n v="0"/>
    <s v="REG100091"/>
    <s v="Cust 4439"/>
    <n v="14.8"/>
    <x v="89"/>
    <d v="2025-03-05T00:00:00"/>
    <s v="Ryan"/>
  </r>
  <r>
    <d v="2023-10-18T00:00:00"/>
    <x v="2"/>
    <x v="3"/>
    <n v="12"/>
    <n v="494.15"/>
    <s v="Store B"/>
    <x v="0"/>
    <n v="0.15"/>
    <x v="4"/>
    <n v="5040.329999999999"/>
    <x v="0"/>
    <s v="SAVE10"/>
    <n v="1"/>
    <s v="REG100092"/>
    <s v="Cust 1127"/>
    <n v="18.05"/>
    <x v="90"/>
    <d v="2023-10-20T00:00:00"/>
    <s v="Ryan"/>
  </r>
  <r>
    <d v="2025-04-13T00:00:00"/>
    <x v="0"/>
    <x v="2"/>
    <n v="10"/>
    <n v="462.99"/>
    <s v="Store C"/>
    <x v="0"/>
    <n v="0"/>
    <x v="5"/>
    <n v="4629.8999999999996"/>
    <x v="2"/>
    <s v="WINTER15"/>
    <n v="0"/>
    <s v="REG100093"/>
    <s v="Cust 4696"/>
    <n v="5.01"/>
    <x v="91"/>
    <d v="2025-04-15T00:00:00"/>
    <s v="Eric"/>
  </r>
  <r>
    <d v="2025-05-13T00:00:00"/>
    <x v="3"/>
    <x v="0"/>
    <n v="7"/>
    <n v="460.24"/>
    <s v="Store A"/>
    <x v="1"/>
    <n v="0.05"/>
    <x v="1"/>
    <n v="3060.596"/>
    <x v="4"/>
    <s v="SAVE10"/>
    <n v="1"/>
    <s v="REG100094"/>
    <s v="Cust 3014"/>
    <n v="11.54"/>
    <x v="92"/>
    <d v="2025-05-23T00:00:00"/>
    <s v="Cameron"/>
  </r>
  <r>
    <d v="2024-04-21T00:00:00"/>
    <x v="4"/>
    <x v="6"/>
    <n v="17"/>
    <n v="309.52"/>
    <s v="Store B"/>
    <x v="0"/>
    <n v="0.05"/>
    <x v="0"/>
    <n v="4998.7479999999996"/>
    <x v="0"/>
    <s v="FREESHIP"/>
    <n v="0"/>
    <s v="REG100095"/>
    <s v="Cust 2539"/>
    <n v="6.11"/>
    <x v="93"/>
    <d v="2024-04-27T00:00:00"/>
    <s v="Wendy"/>
  </r>
  <r>
    <d v="2025-01-31T00:00:00"/>
    <x v="3"/>
    <x v="4"/>
    <n v="1"/>
    <n v="323.83"/>
    <s v="Store B"/>
    <x v="0"/>
    <n v="0.05"/>
    <x v="0"/>
    <n v="307.63850000000002"/>
    <x v="2"/>
    <s v="WINTER15"/>
    <n v="0"/>
    <s v="REG100096"/>
    <s v="Cust 3916"/>
    <n v="27.48"/>
    <x v="94"/>
    <d v="2025-02-08T00:00:00"/>
    <s v="Cameron"/>
  </r>
  <r>
    <d v="2025-03-14T00:00:00"/>
    <x v="3"/>
    <x v="3"/>
    <n v="10"/>
    <n v="503.07"/>
    <s v="Store C"/>
    <x v="1"/>
    <n v="0"/>
    <x v="5"/>
    <n v="5030.7"/>
    <x v="2"/>
    <s v="FREESHIP"/>
    <n v="0"/>
    <s v="REG100097"/>
    <s v="Cust 6329"/>
    <n v="44.61"/>
    <x v="95"/>
    <d v="2025-03-19T00:00:00"/>
    <s v="Cameron"/>
  </r>
  <r>
    <d v="2024-05-26T00:00:00"/>
    <x v="4"/>
    <x v="0"/>
    <n v="20"/>
    <n v="491.68"/>
    <s v="Store D"/>
    <x v="0"/>
    <n v="0.15"/>
    <x v="1"/>
    <n v="8358.56"/>
    <x v="0"/>
    <s v="SAVE10"/>
    <n v="1"/>
    <s v="REG100098"/>
    <s v="Cust 4384"/>
    <n v="43.46"/>
    <x v="96"/>
    <d v="2024-05-29T00:00:00"/>
    <s v="Wendy"/>
  </r>
  <r>
    <d v="2023-07-22T00:00:00"/>
    <x v="2"/>
    <x v="1"/>
    <n v="17"/>
    <n v="468.45"/>
    <s v="Store A"/>
    <x v="1"/>
    <n v="0.05"/>
    <x v="3"/>
    <n v="7565.4674999999997"/>
    <x v="2"/>
    <s v="FREESHIP"/>
    <n v="0"/>
    <s v="REG100099"/>
    <s v="Cust 7756"/>
    <n v="17.88"/>
    <x v="97"/>
    <d v="2023-07-26T00:00:00"/>
    <s v="Ryan"/>
  </r>
  <r>
    <d v="2024-03-21T00:00:00"/>
    <x v="2"/>
    <x v="0"/>
    <n v="11"/>
    <n v="401.76"/>
    <s v="Store D"/>
    <x v="1"/>
    <n v="0.15"/>
    <x v="2"/>
    <n v="3756.4560000000001"/>
    <x v="1"/>
    <s v="SAVE10"/>
    <n v="0"/>
    <s v="REG100100"/>
    <s v="Cust 6086"/>
    <n v="48.03"/>
    <x v="58"/>
    <d v="2024-03-30T00:00:00"/>
    <s v="Ryan"/>
  </r>
  <r>
    <d v="2023-04-05T00:00:00"/>
    <x v="4"/>
    <x v="6"/>
    <n v="3"/>
    <n v="221"/>
    <s v="Store B"/>
    <x v="0"/>
    <n v="0"/>
    <x v="2"/>
    <n v="663"/>
    <x v="4"/>
    <s v="FREESHIP"/>
    <n v="0"/>
    <s v="REG100101"/>
    <s v="Cust 3845"/>
    <n v="32.31"/>
    <x v="32"/>
    <d v="2023-04-08T00:00:00"/>
    <s v="Wendy"/>
  </r>
  <r>
    <d v="2024-08-26T00:00:00"/>
    <x v="0"/>
    <x v="4"/>
    <n v="6"/>
    <n v="188.45"/>
    <s v="Store C"/>
    <x v="0"/>
    <n v="0.05"/>
    <x v="1"/>
    <n v="1074.165"/>
    <x v="1"/>
    <m/>
    <n v="0"/>
    <s v="REG100102"/>
    <s v="Cust 9996"/>
    <n v="6.77"/>
    <x v="98"/>
    <d v="2024-09-01T00:00:00"/>
    <s v="Eric"/>
  </r>
  <r>
    <d v="2024-07-07T00:00:00"/>
    <x v="2"/>
    <x v="2"/>
    <n v="3"/>
    <n v="566.20000000000005"/>
    <s v="Store D"/>
    <x v="1"/>
    <n v="0"/>
    <x v="5"/>
    <n v="1698.6"/>
    <x v="1"/>
    <s v="FREESHIP"/>
    <n v="1"/>
    <s v="REG100103"/>
    <s v="Cust 1711"/>
    <n v="28.97"/>
    <x v="99"/>
    <d v="2024-07-17T00:00:00"/>
    <s v="Ryan"/>
  </r>
  <r>
    <d v="2023-09-29T00:00:00"/>
    <x v="0"/>
    <x v="4"/>
    <n v="14"/>
    <n v="167.09"/>
    <s v="Store D"/>
    <x v="1"/>
    <n v="0.05"/>
    <x v="1"/>
    <n v="2222.297"/>
    <x v="1"/>
    <s v="SAVE10"/>
    <n v="1"/>
    <s v="REG100104"/>
    <s v="Cust 4522"/>
    <n v="47.05"/>
    <x v="100"/>
    <d v="2023-10-08T00:00:00"/>
    <s v="Eric"/>
  </r>
  <r>
    <d v="2023-10-04T00:00:00"/>
    <x v="4"/>
    <x v="4"/>
    <n v="16"/>
    <n v="36.159999999999997"/>
    <s v="Store C"/>
    <x v="0"/>
    <n v="0.1"/>
    <x v="3"/>
    <n v="520.70399999999995"/>
    <x v="3"/>
    <s v="FREESHIP"/>
    <n v="0"/>
    <s v="REG100105"/>
    <s v="Cust 4233"/>
    <n v="26.64"/>
    <x v="101"/>
    <d v="2023-10-11T00:00:00"/>
    <s v="Wendy"/>
  </r>
  <r>
    <d v="2025-06-09T00:00:00"/>
    <x v="3"/>
    <x v="6"/>
    <n v="2"/>
    <n v="73.94"/>
    <s v="Store B"/>
    <x v="0"/>
    <n v="0.05"/>
    <x v="3"/>
    <n v="140.48599999999999"/>
    <x v="3"/>
    <s v="SAVE10"/>
    <n v="0"/>
    <s v="REG100106"/>
    <s v="Cust 4121"/>
    <n v="28.05"/>
    <x v="102"/>
    <d v="2025-06-16T00:00:00"/>
    <s v="Cameron"/>
  </r>
  <r>
    <d v="2025-06-12T00:00:00"/>
    <x v="0"/>
    <x v="6"/>
    <n v="16"/>
    <n v="459.49"/>
    <s v="Store A"/>
    <x v="0"/>
    <n v="0.1"/>
    <x v="0"/>
    <n v="6616.6559999999999"/>
    <x v="0"/>
    <s v="SAVE10"/>
    <n v="0"/>
    <s v="REG100107"/>
    <s v="Cust 9092"/>
    <n v="26.99"/>
    <x v="103"/>
    <d v="2025-06-14T00:00:00"/>
    <s v="Eric"/>
  </r>
  <r>
    <d v="2024-06-29T00:00:00"/>
    <x v="0"/>
    <x v="3"/>
    <n v="3"/>
    <n v="168.05"/>
    <s v="Store A"/>
    <x v="1"/>
    <n v="0"/>
    <x v="3"/>
    <n v="504.15"/>
    <x v="4"/>
    <m/>
    <n v="1"/>
    <s v="REG100108"/>
    <s v="Cust 9090"/>
    <n v="21.08"/>
    <x v="104"/>
    <d v="2024-07-06T00:00:00"/>
    <s v="Eric"/>
  </r>
  <r>
    <d v="2024-03-23T00:00:00"/>
    <x v="2"/>
    <x v="6"/>
    <n v="14"/>
    <n v="37.54"/>
    <s v="Store B"/>
    <x v="1"/>
    <n v="0.15"/>
    <x v="1"/>
    <n v="446.72599999999989"/>
    <x v="2"/>
    <m/>
    <n v="1"/>
    <s v="REG100109"/>
    <s v="Cust 1983"/>
    <n v="49.6"/>
    <x v="105"/>
    <d v="2024-04-02T00:00:00"/>
    <s v="Ryan"/>
  </r>
  <r>
    <d v="2024-07-14T00:00:00"/>
    <x v="1"/>
    <x v="5"/>
    <n v="4"/>
    <n v="151.16"/>
    <s v="Store B"/>
    <x v="0"/>
    <n v="0"/>
    <x v="1"/>
    <n v="604.64"/>
    <x v="1"/>
    <s v="SAVE10"/>
    <n v="1"/>
    <s v="REG100110"/>
    <s v="Cust 8834"/>
    <n v="41.4"/>
    <x v="106"/>
    <d v="2024-07-21T00:00:00"/>
    <s v="Sophie"/>
  </r>
  <r>
    <d v="2024-03-15T00:00:00"/>
    <x v="1"/>
    <x v="5"/>
    <n v="17"/>
    <n v="78.58"/>
    <s v="Store A"/>
    <x v="0"/>
    <n v="0.1"/>
    <x v="5"/>
    <n v="1202.2739999999999"/>
    <x v="1"/>
    <s v="WINTER15"/>
    <n v="0"/>
    <s v="REG100111"/>
    <s v="Cust 9780"/>
    <n v="8.02"/>
    <x v="107"/>
    <d v="2024-03-25T00:00:00"/>
    <s v="Sophie"/>
  </r>
  <r>
    <d v="2025-04-19T00:00:00"/>
    <x v="3"/>
    <x v="3"/>
    <n v="15"/>
    <n v="37.33"/>
    <s v="Store B"/>
    <x v="1"/>
    <n v="0.05"/>
    <x v="3"/>
    <n v="531.95249999999987"/>
    <x v="4"/>
    <m/>
    <n v="1"/>
    <s v="REG100112"/>
    <s v="Cust 1293"/>
    <n v="43.69"/>
    <x v="108"/>
    <d v="2025-04-24T00:00:00"/>
    <s v="Cameron"/>
  </r>
  <r>
    <d v="2024-02-15T00:00:00"/>
    <x v="4"/>
    <x v="5"/>
    <n v="18"/>
    <n v="537.02"/>
    <s v="Store A"/>
    <x v="0"/>
    <n v="0.15"/>
    <x v="3"/>
    <n v="8216.4060000000009"/>
    <x v="3"/>
    <s v="SAVE10"/>
    <n v="0"/>
    <s v="REG100113"/>
    <s v="Cust 3173"/>
    <n v="23.94"/>
    <x v="37"/>
    <d v="2024-02-20T00:00:00"/>
    <s v="Wendy"/>
  </r>
  <r>
    <d v="2024-01-25T00:00:00"/>
    <x v="0"/>
    <x v="2"/>
    <n v="5"/>
    <n v="215.6"/>
    <s v="Store C"/>
    <x v="0"/>
    <n v="0"/>
    <x v="2"/>
    <n v="1078"/>
    <x v="0"/>
    <s v="WINTER15"/>
    <n v="0"/>
    <s v="REG100114"/>
    <s v="Cust 8641"/>
    <n v="28.36"/>
    <x v="109"/>
    <d v="2024-02-04T00:00:00"/>
    <s v="Eric"/>
  </r>
  <r>
    <d v="2025-04-15T00:00:00"/>
    <x v="3"/>
    <x v="0"/>
    <n v="18"/>
    <n v="209.5"/>
    <s v="Store D"/>
    <x v="0"/>
    <n v="0"/>
    <x v="3"/>
    <n v="3771"/>
    <x v="2"/>
    <s v="FREESHIP"/>
    <n v="0"/>
    <s v="REG100115"/>
    <s v="Cust 7656"/>
    <n v="38.229999999999997"/>
    <x v="110"/>
    <d v="2025-04-23T00:00:00"/>
    <s v="Cameron"/>
  </r>
  <r>
    <d v="2025-04-15T00:00:00"/>
    <x v="3"/>
    <x v="3"/>
    <n v="8"/>
    <n v="348.98"/>
    <s v="Store A"/>
    <x v="1"/>
    <n v="0.1"/>
    <x v="2"/>
    <n v="2512.6559999999999"/>
    <x v="0"/>
    <s v="FREESHIP"/>
    <n v="0"/>
    <s v="REG100116"/>
    <s v="Cust 5523"/>
    <n v="19.170000000000002"/>
    <x v="110"/>
    <d v="2025-04-20T00:00:00"/>
    <s v="Cameron"/>
  </r>
  <r>
    <d v="2024-08-11T00:00:00"/>
    <x v="4"/>
    <x v="6"/>
    <n v="2"/>
    <n v="289.14"/>
    <s v="Store C"/>
    <x v="1"/>
    <n v="0.05"/>
    <x v="4"/>
    <n v="549.36599999999999"/>
    <x v="0"/>
    <s v="SAVE10"/>
    <n v="0"/>
    <s v="REG100117"/>
    <s v="Cust 2015"/>
    <n v="5.13"/>
    <x v="111"/>
    <d v="2024-08-13T00:00:00"/>
    <s v="Wendy"/>
  </r>
  <r>
    <d v="2023-12-01T00:00:00"/>
    <x v="1"/>
    <x v="2"/>
    <n v="5"/>
    <n v="396.93"/>
    <s v="Store B"/>
    <x v="0"/>
    <n v="0"/>
    <x v="4"/>
    <n v="1984.65"/>
    <x v="2"/>
    <s v="FREESHIP"/>
    <n v="0"/>
    <s v="REG100118"/>
    <s v="Cust 6895"/>
    <n v="48.63"/>
    <x v="112"/>
    <d v="2023-12-08T00:00:00"/>
    <s v="Sophie"/>
  </r>
  <r>
    <d v="2023-08-06T00:00:00"/>
    <x v="3"/>
    <x v="0"/>
    <n v="10"/>
    <n v="508.57"/>
    <s v="Store D"/>
    <x v="1"/>
    <n v="0.05"/>
    <x v="5"/>
    <n v="4831.415"/>
    <x v="0"/>
    <s v="SAVE10"/>
    <n v="0"/>
    <s v="REG100119"/>
    <s v="Cust 1797"/>
    <n v="9.35"/>
    <x v="23"/>
    <d v="2023-08-11T00:00:00"/>
    <s v="Cameron"/>
  </r>
  <r>
    <d v="2024-01-24T00:00:00"/>
    <x v="3"/>
    <x v="0"/>
    <n v="11"/>
    <n v="259.61"/>
    <s v="Store C"/>
    <x v="0"/>
    <n v="0.1"/>
    <x v="3"/>
    <n v="2570.1390000000001"/>
    <x v="4"/>
    <s v="FREESHIP"/>
    <n v="0"/>
    <s v="REG100120"/>
    <s v="Cust 9969"/>
    <n v="13.73"/>
    <x v="113"/>
    <d v="2024-01-31T00:00:00"/>
    <s v="Cameron"/>
  </r>
  <r>
    <d v="2024-03-07T00:00:00"/>
    <x v="3"/>
    <x v="3"/>
    <n v="9"/>
    <n v="313.29000000000002"/>
    <s v="Store D"/>
    <x v="1"/>
    <n v="0"/>
    <x v="3"/>
    <n v="2819.61"/>
    <x v="0"/>
    <s v="FREESHIP"/>
    <n v="0"/>
    <s v="REG100121"/>
    <s v="Cust 1815"/>
    <n v="14.04"/>
    <x v="114"/>
    <d v="2024-03-13T00:00:00"/>
    <s v="Cameron"/>
  </r>
  <r>
    <d v="2024-01-22T00:00:00"/>
    <x v="1"/>
    <x v="5"/>
    <n v="5"/>
    <n v="106.57"/>
    <s v="Store C"/>
    <x v="0"/>
    <n v="0.1"/>
    <x v="3"/>
    <n v="479.56499999999988"/>
    <x v="3"/>
    <s v="SAVE10"/>
    <n v="1"/>
    <s v="REG100122"/>
    <s v="Cust 7773"/>
    <n v="25.24"/>
    <x v="115"/>
    <d v="2024-01-28T00:00:00"/>
    <s v="Sophie"/>
  </r>
  <r>
    <d v="2023-02-23T00:00:00"/>
    <x v="0"/>
    <x v="6"/>
    <n v="1"/>
    <n v="109"/>
    <s v="Store B"/>
    <x v="1"/>
    <n v="0.15"/>
    <x v="2"/>
    <n v="92.649999999999991"/>
    <x v="4"/>
    <s v="WINTER15"/>
    <n v="1"/>
    <s v="REG100123"/>
    <s v="Cust 1499"/>
    <n v="8.0299999999999994"/>
    <x v="0"/>
    <d v="2023-02-27T00:00:00"/>
    <s v="Eric"/>
  </r>
  <r>
    <d v="2023-06-14T00:00:00"/>
    <x v="2"/>
    <x v="5"/>
    <n v="8"/>
    <n v="323.8"/>
    <s v="Store B"/>
    <x v="1"/>
    <n v="0"/>
    <x v="4"/>
    <n v="2590.4"/>
    <x v="4"/>
    <s v="SAVE10"/>
    <n v="1"/>
    <s v="REG100124"/>
    <s v="Cust 3809"/>
    <n v="35.229999999999997"/>
    <x v="116"/>
    <d v="2023-06-22T00:00:00"/>
    <s v="Ryan"/>
  </r>
  <r>
    <d v="2025-05-13T00:00:00"/>
    <x v="2"/>
    <x v="0"/>
    <n v="16"/>
    <n v="384.32"/>
    <s v="Store A"/>
    <x v="1"/>
    <n v="0.05"/>
    <x v="2"/>
    <n v="5841.6639999999998"/>
    <x v="4"/>
    <s v="FREESHIP"/>
    <n v="0"/>
    <s v="REG100125"/>
    <s v="Cust 7824"/>
    <n v="21.5"/>
    <x v="92"/>
    <d v="2025-05-15T00:00:00"/>
    <s v="Ryan"/>
  </r>
  <r>
    <d v="2024-07-30T00:00:00"/>
    <x v="3"/>
    <x v="6"/>
    <n v="16"/>
    <n v="163.86"/>
    <s v="Store C"/>
    <x v="1"/>
    <n v="0.15"/>
    <x v="4"/>
    <n v="2228.4960000000001"/>
    <x v="1"/>
    <s v="FREESHIP"/>
    <n v="0"/>
    <s v="REG100126"/>
    <s v="Cust 7258"/>
    <n v="37.950000000000003"/>
    <x v="117"/>
    <d v="2024-08-06T00:00:00"/>
    <s v="Cameron"/>
  </r>
  <r>
    <d v="2024-07-18T00:00:00"/>
    <x v="0"/>
    <x v="5"/>
    <n v="5"/>
    <n v="23.41"/>
    <s v="Store B"/>
    <x v="0"/>
    <n v="0"/>
    <x v="2"/>
    <n v="117.05"/>
    <x v="2"/>
    <s v="WINTER15"/>
    <n v="0"/>
    <s v="REG100127"/>
    <s v="Cust 1151"/>
    <n v="26.44"/>
    <x v="118"/>
    <d v="2024-07-27T00:00:00"/>
    <s v="Eric"/>
  </r>
  <r>
    <d v="2024-08-26T00:00:00"/>
    <x v="0"/>
    <x v="6"/>
    <n v="20"/>
    <n v="488.9"/>
    <s v="Store C"/>
    <x v="0"/>
    <n v="0.15"/>
    <x v="0"/>
    <n v="8311.2999999999993"/>
    <x v="1"/>
    <s v="FREESHIP"/>
    <n v="0"/>
    <s v="REG100128"/>
    <s v="Cust 6486"/>
    <n v="21.77"/>
    <x v="98"/>
    <d v="2024-09-01T00:00:00"/>
    <s v="Eric"/>
  </r>
  <r>
    <d v="2025-06-08T00:00:00"/>
    <x v="4"/>
    <x v="5"/>
    <n v="7"/>
    <n v="452.56"/>
    <s v="Store A"/>
    <x v="0"/>
    <n v="0.05"/>
    <x v="2"/>
    <n v="3009.5239999999999"/>
    <x v="1"/>
    <s v="FREESHIP"/>
    <n v="0"/>
    <s v="REG100129"/>
    <s v="Cust 4034"/>
    <n v="46.97"/>
    <x v="119"/>
    <d v="2025-06-15T00:00:00"/>
    <s v="Wendy"/>
  </r>
  <r>
    <d v="2025-05-16T00:00:00"/>
    <x v="2"/>
    <x v="2"/>
    <n v="11"/>
    <n v="465.24"/>
    <s v="Store A"/>
    <x v="0"/>
    <n v="0"/>
    <x v="3"/>
    <n v="5117.6400000000003"/>
    <x v="3"/>
    <m/>
    <n v="1"/>
    <s v="REG100130"/>
    <s v="Cust 9794"/>
    <n v="17.59"/>
    <x v="120"/>
    <d v="2025-05-23T00:00:00"/>
    <s v="Ryan"/>
  </r>
  <r>
    <d v="2024-07-18T00:00:00"/>
    <x v="0"/>
    <x v="1"/>
    <n v="14"/>
    <n v="442.65"/>
    <s v="Store B"/>
    <x v="1"/>
    <n v="0"/>
    <x v="0"/>
    <n v="6197.0999999999995"/>
    <x v="1"/>
    <s v="SAVE10"/>
    <n v="0"/>
    <s v="REG100131"/>
    <s v="Cust 2414"/>
    <n v="28.76"/>
    <x v="118"/>
    <d v="2024-07-24T00:00:00"/>
    <s v="Eric"/>
  </r>
  <r>
    <d v="2023-09-17T00:00:00"/>
    <x v="4"/>
    <x v="0"/>
    <n v="12"/>
    <n v="469.44"/>
    <s v="Store B"/>
    <x v="0"/>
    <n v="0"/>
    <x v="5"/>
    <n v="5633.28"/>
    <x v="0"/>
    <s v="FREESHIP"/>
    <n v="0"/>
    <s v="REG100132"/>
    <s v="Cust 9024"/>
    <n v="33.299999999999997"/>
    <x v="121"/>
    <d v="2023-09-26T00:00:00"/>
    <s v="Wendy"/>
  </r>
  <r>
    <d v="2023-03-13T00:00:00"/>
    <x v="0"/>
    <x v="4"/>
    <n v="14"/>
    <n v="248.77"/>
    <s v="Store C"/>
    <x v="0"/>
    <n v="0.05"/>
    <x v="5"/>
    <n v="3308.6410000000001"/>
    <x v="3"/>
    <s v="FREESHIP"/>
    <n v="1"/>
    <s v="REG100133"/>
    <s v="Cust 2663"/>
    <n v="21.76"/>
    <x v="122"/>
    <d v="2023-03-19T00:00:00"/>
    <s v="Eric"/>
  </r>
  <r>
    <d v="2023-03-29T00:00:00"/>
    <x v="1"/>
    <x v="3"/>
    <n v="4"/>
    <n v="565.29"/>
    <s v="Store D"/>
    <x v="0"/>
    <n v="0.05"/>
    <x v="1"/>
    <n v="2148.1019999999999"/>
    <x v="4"/>
    <m/>
    <n v="0"/>
    <s v="REG100134"/>
    <s v="Cust 2293"/>
    <n v="27.04"/>
    <x v="88"/>
    <d v="2023-04-03T00:00:00"/>
    <s v="Sophie"/>
  </r>
  <r>
    <d v="2023-07-14T00:00:00"/>
    <x v="3"/>
    <x v="2"/>
    <n v="12"/>
    <n v="244.8"/>
    <s v="Store B"/>
    <x v="0"/>
    <n v="0.05"/>
    <x v="2"/>
    <n v="2790.72"/>
    <x v="0"/>
    <s v="FREESHIP"/>
    <n v="0"/>
    <s v="REG100135"/>
    <s v="Cust 8963"/>
    <n v="44.75"/>
    <x v="123"/>
    <d v="2023-07-23T00:00:00"/>
    <s v="Cameron"/>
  </r>
  <r>
    <d v="2024-03-22T00:00:00"/>
    <x v="4"/>
    <x v="0"/>
    <n v="13"/>
    <n v="290.93"/>
    <s v="Store C"/>
    <x v="1"/>
    <n v="0.05"/>
    <x v="4"/>
    <n v="3592.9854999999998"/>
    <x v="2"/>
    <s v="FREESHIP"/>
    <n v="0"/>
    <s v="REG100136"/>
    <s v="Cust 9238"/>
    <n v="26.09"/>
    <x v="124"/>
    <d v="2024-03-31T00:00:00"/>
    <s v="Wendy"/>
  </r>
  <r>
    <d v="2024-05-14T00:00:00"/>
    <x v="3"/>
    <x v="0"/>
    <n v="11"/>
    <n v="229.49"/>
    <s v="Store C"/>
    <x v="1"/>
    <n v="0.1"/>
    <x v="5"/>
    <n v="2271.951"/>
    <x v="4"/>
    <m/>
    <n v="0"/>
    <s v="REG100137"/>
    <s v="Cust 1390"/>
    <n v="35.39"/>
    <x v="125"/>
    <d v="2024-05-17T00:00:00"/>
    <s v="Cameron"/>
  </r>
  <r>
    <d v="2023-05-30T00:00:00"/>
    <x v="3"/>
    <x v="4"/>
    <n v="2"/>
    <n v="427.36"/>
    <s v="Store A"/>
    <x v="0"/>
    <n v="0.05"/>
    <x v="4"/>
    <n v="811.98400000000004"/>
    <x v="0"/>
    <s v="SAVE10"/>
    <n v="0"/>
    <s v="REG100138"/>
    <s v="Cust 8548"/>
    <n v="19.420000000000002"/>
    <x v="126"/>
    <d v="2023-06-02T00:00:00"/>
    <s v="Cameron"/>
  </r>
  <r>
    <d v="2023-03-19T00:00:00"/>
    <x v="2"/>
    <x v="1"/>
    <n v="2"/>
    <n v="443.51"/>
    <s v="Store C"/>
    <x v="0"/>
    <n v="0.05"/>
    <x v="1"/>
    <n v="842.66899999999998"/>
    <x v="4"/>
    <m/>
    <n v="0"/>
    <s v="REG100139"/>
    <s v="Cust 2919"/>
    <n v="13.65"/>
    <x v="127"/>
    <d v="2023-03-22T00:00:00"/>
    <s v="Ryan"/>
  </r>
  <r>
    <d v="2023-08-09T00:00:00"/>
    <x v="3"/>
    <x v="2"/>
    <n v="13"/>
    <n v="280.63"/>
    <s v="Store B"/>
    <x v="0"/>
    <n v="0.15"/>
    <x v="1"/>
    <n v="3100.9614999999999"/>
    <x v="2"/>
    <s v="SAVE10"/>
    <n v="0"/>
    <s v="REG100140"/>
    <s v="Cust 5847"/>
    <n v="10.14"/>
    <x v="128"/>
    <d v="2023-08-14T00:00:00"/>
    <s v="Cameron"/>
  </r>
  <r>
    <d v="2024-10-13T00:00:00"/>
    <x v="2"/>
    <x v="3"/>
    <n v="13"/>
    <n v="416.66"/>
    <s v="Store B"/>
    <x v="0"/>
    <n v="0.15"/>
    <x v="5"/>
    <n v="4604.0929999999998"/>
    <x v="2"/>
    <s v="WINTER15"/>
    <n v="0"/>
    <s v="REG100141"/>
    <s v="Cust 5711"/>
    <n v="21.74"/>
    <x v="129"/>
    <d v="2024-10-20T00:00:00"/>
    <s v="Ryan"/>
  </r>
  <r>
    <d v="2025-02-17T00:00:00"/>
    <x v="0"/>
    <x v="3"/>
    <n v="11"/>
    <n v="589.48"/>
    <s v="Store B"/>
    <x v="1"/>
    <n v="0"/>
    <x v="1"/>
    <n v="6484.2800000000007"/>
    <x v="0"/>
    <s v="WINTER15"/>
    <n v="0"/>
    <s v="REG100142"/>
    <s v="Cust 5461"/>
    <n v="49.93"/>
    <x v="130"/>
    <d v="2025-02-25T00:00:00"/>
    <s v="Eric"/>
  </r>
  <r>
    <d v="2025-06-11T00:00:00"/>
    <x v="2"/>
    <x v="1"/>
    <n v="18"/>
    <n v="152.84"/>
    <s v="Store C"/>
    <x v="1"/>
    <n v="0.15"/>
    <x v="4"/>
    <n v="2338.4520000000002"/>
    <x v="3"/>
    <s v="FREESHIP"/>
    <n v="1"/>
    <s v="REG100143"/>
    <s v="Cust 8905"/>
    <n v="20.3"/>
    <x v="54"/>
    <d v="2025-06-20T00:00:00"/>
    <s v="Ryan"/>
  </r>
  <r>
    <d v="2024-04-29T00:00:00"/>
    <x v="3"/>
    <x v="5"/>
    <n v="4"/>
    <n v="163.66"/>
    <s v="Store B"/>
    <x v="1"/>
    <n v="0"/>
    <x v="5"/>
    <n v="654.64"/>
    <x v="1"/>
    <s v="WINTER15"/>
    <n v="1"/>
    <s v="REG100144"/>
    <s v="Cust 9618"/>
    <n v="31.8"/>
    <x v="131"/>
    <d v="2024-05-01T00:00:00"/>
    <s v="Cameron"/>
  </r>
  <r>
    <d v="2023-03-18T00:00:00"/>
    <x v="4"/>
    <x v="0"/>
    <n v="19"/>
    <n v="484.25"/>
    <s v="Store C"/>
    <x v="0"/>
    <n v="0.15"/>
    <x v="5"/>
    <n v="7820.6374999999998"/>
    <x v="3"/>
    <s v="FREESHIP"/>
    <n v="1"/>
    <s v="REG100145"/>
    <s v="Cust 5203"/>
    <n v="29.51"/>
    <x v="132"/>
    <d v="2023-03-20T00:00:00"/>
    <s v="Wendy"/>
  </r>
  <r>
    <d v="2024-12-21T00:00:00"/>
    <x v="2"/>
    <x v="3"/>
    <n v="9"/>
    <n v="380.4"/>
    <s v="Store B"/>
    <x v="1"/>
    <n v="0.1"/>
    <x v="3"/>
    <n v="3081.24"/>
    <x v="2"/>
    <m/>
    <n v="0"/>
    <s v="REG100146"/>
    <s v="Cust 1732"/>
    <n v="31"/>
    <x v="133"/>
    <d v="2024-12-27T00:00:00"/>
    <s v="Ryan"/>
  </r>
  <r>
    <d v="2023-04-23T00:00:00"/>
    <x v="4"/>
    <x v="3"/>
    <n v="17"/>
    <n v="332.38"/>
    <s v="Store A"/>
    <x v="1"/>
    <n v="0.1"/>
    <x v="2"/>
    <n v="5085.4139999999998"/>
    <x v="2"/>
    <s v="SAVE10"/>
    <n v="1"/>
    <s v="REG100147"/>
    <s v="Cust 4734"/>
    <n v="33.81"/>
    <x v="134"/>
    <d v="2023-05-02T00:00:00"/>
    <s v="Wendy"/>
  </r>
  <r>
    <d v="2025-05-11T00:00:00"/>
    <x v="3"/>
    <x v="3"/>
    <n v="15"/>
    <n v="210.94"/>
    <s v="Store C"/>
    <x v="0"/>
    <n v="0.05"/>
    <x v="2"/>
    <n v="3005.895"/>
    <x v="0"/>
    <s v="SAVE10"/>
    <n v="0"/>
    <s v="REG100148"/>
    <s v="Cust 5895"/>
    <n v="10.91"/>
    <x v="15"/>
    <d v="2025-05-21T00:00:00"/>
    <s v="Cameron"/>
  </r>
  <r>
    <d v="2024-03-03T00:00:00"/>
    <x v="1"/>
    <x v="1"/>
    <n v="9"/>
    <n v="382.8"/>
    <s v="Store D"/>
    <x v="0"/>
    <n v="0"/>
    <x v="0"/>
    <n v="3445.2"/>
    <x v="4"/>
    <m/>
    <n v="0"/>
    <s v="REG100149"/>
    <s v="Cust 9691"/>
    <n v="47.94"/>
    <x v="69"/>
    <d v="2024-03-05T00:00:00"/>
    <s v="Sophie"/>
  </r>
  <r>
    <d v="2025-01-20T00:00:00"/>
    <x v="2"/>
    <x v="4"/>
    <n v="3"/>
    <n v="386.29"/>
    <s v="Store C"/>
    <x v="1"/>
    <n v="0.15"/>
    <x v="3"/>
    <n v="985.03950000000009"/>
    <x v="2"/>
    <s v="FREESHIP"/>
    <n v="0"/>
    <s v="REG100150"/>
    <s v="Cust 5406"/>
    <n v="32.450000000000003"/>
    <x v="135"/>
    <d v="2025-01-30T00:00:00"/>
    <s v="Ryan"/>
  </r>
  <r>
    <d v="2025-03-22T00:00:00"/>
    <x v="2"/>
    <x v="5"/>
    <n v="5"/>
    <n v="225.99"/>
    <s v="Store C"/>
    <x v="1"/>
    <n v="0"/>
    <x v="0"/>
    <n v="1129.95"/>
    <x v="0"/>
    <s v="SAVE10"/>
    <n v="1"/>
    <s v="REG100151"/>
    <s v="Cust 5750"/>
    <n v="10.88"/>
    <x v="61"/>
    <d v="2025-03-30T00:00:00"/>
    <s v="Ryan"/>
  </r>
  <r>
    <d v="2025-03-28T00:00:00"/>
    <x v="1"/>
    <x v="6"/>
    <n v="20"/>
    <n v="312.56"/>
    <s v="Store D"/>
    <x v="1"/>
    <n v="0.15"/>
    <x v="2"/>
    <n v="5313.52"/>
    <x v="1"/>
    <s v="WINTER15"/>
    <n v="0"/>
    <s v="REG100152"/>
    <s v="Cust 6506"/>
    <n v="47.39"/>
    <x v="136"/>
    <d v="2025-03-30T00:00:00"/>
    <s v="Sophie"/>
  </r>
  <r>
    <d v="2025-02-17T00:00:00"/>
    <x v="2"/>
    <x v="1"/>
    <n v="13"/>
    <n v="433.77"/>
    <s v="Store C"/>
    <x v="0"/>
    <n v="0.05"/>
    <x v="2"/>
    <n v="5357.0595000000003"/>
    <x v="4"/>
    <s v="FREESHIP"/>
    <n v="0"/>
    <s v="REG100153"/>
    <s v="Cust 8280"/>
    <n v="17.61"/>
    <x v="130"/>
    <d v="2025-02-21T00:00:00"/>
    <s v="Ryan"/>
  </r>
  <r>
    <d v="2024-11-08T00:00:00"/>
    <x v="1"/>
    <x v="5"/>
    <n v="20"/>
    <n v="159.33000000000001"/>
    <s v="Store A"/>
    <x v="0"/>
    <n v="0"/>
    <x v="0"/>
    <n v="3186.6"/>
    <x v="0"/>
    <s v="FREESHIP"/>
    <n v="0"/>
    <s v="REG100154"/>
    <s v="Cust 4358"/>
    <n v="26.32"/>
    <x v="137"/>
    <d v="2024-11-11T00:00:00"/>
    <s v="Sophie"/>
  </r>
  <r>
    <d v="2024-03-17T00:00:00"/>
    <x v="1"/>
    <x v="1"/>
    <n v="18"/>
    <n v="32.229999999999997"/>
    <s v="Store B"/>
    <x v="1"/>
    <n v="0.05"/>
    <x v="5"/>
    <n v="551.13299999999992"/>
    <x v="2"/>
    <s v="FREESHIP"/>
    <n v="0"/>
    <s v="REG100155"/>
    <s v="Cust 3588"/>
    <n v="6.04"/>
    <x v="138"/>
    <d v="2024-03-21T00:00:00"/>
    <s v="Sophie"/>
  </r>
  <r>
    <d v="2023-08-29T00:00:00"/>
    <x v="1"/>
    <x v="4"/>
    <n v="3"/>
    <n v="527.77"/>
    <s v="Store C"/>
    <x v="1"/>
    <n v="0.1"/>
    <x v="5"/>
    <n v="1424.979"/>
    <x v="4"/>
    <s v="FREESHIP"/>
    <n v="0"/>
    <s v="REG100156"/>
    <s v="Cust 4539"/>
    <n v="48.66"/>
    <x v="139"/>
    <d v="2023-09-01T00:00:00"/>
    <s v="Sophie"/>
  </r>
  <r>
    <d v="2023-06-22T00:00:00"/>
    <x v="1"/>
    <x v="3"/>
    <n v="14"/>
    <n v="291.08999999999997"/>
    <s v="Store A"/>
    <x v="1"/>
    <n v="0"/>
    <x v="3"/>
    <n v="4075.26"/>
    <x v="4"/>
    <m/>
    <n v="0"/>
    <s v="REG100157"/>
    <s v="Cust 7067"/>
    <n v="39.979999999999997"/>
    <x v="19"/>
    <d v="2023-06-30T00:00:00"/>
    <s v="Sophie"/>
  </r>
  <r>
    <d v="2024-02-24T00:00:00"/>
    <x v="1"/>
    <x v="1"/>
    <n v="8"/>
    <n v="350.12"/>
    <s v="Store C"/>
    <x v="1"/>
    <n v="0"/>
    <x v="1"/>
    <n v="2800.96"/>
    <x v="1"/>
    <s v="FREESHIP"/>
    <n v="1"/>
    <s v="REG100158"/>
    <s v="Cust 7720"/>
    <n v="31.65"/>
    <x v="62"/>
    <d v="2024-03-01T00:00:00"/>
    <s v="Sophie"/>
  </r>
  <r>
    <d v="2024-04-10T00:00:00"/>
    <x v="2"/>
    <x v="1"/>
    <n v="10"/>
    <n v="195.26"/>
    <s v="Store D"/>
    <x v="1"/>
    <n v="0.05"/>
    <x v="1"/>
    <n v="1854.97"/>
    <x v="2"/>
    <s v="WINTER15"/>
    <n v="0"/>
    <s v="REG100159"/>
    <s v="Cust 5668"/>
    <n v="46.91"/>
    <x v="10"/>
    <d v="2024-04-15T00:00:00"/>
    <s v="Ryan"/>
  </r>
  <r>
    <d v="2023-05-14T00:00:00"/>
    <x v="1"/>
    <x v="4"/>
    <n v="13"/>
    <n v="291.10000000000002"/>
    <s v="Store A"/>
    <x v="0"/>
    <n v="0"/>
    <x v="1"/>
    <n v="3784.3"/>
    <x v="0"/>
    <s v="FREESHIP"/>
    <n v="0"/>
    <s v="REG100160"/>
    <s v="Cust 8367"/>
    <n v="7.66"/>
    <x v="140"/>
    <d v="2023-05-19T00:00:00"/>
    <s v="Sophie"/>
  </r>
  <r>
    <d v="2023-03-11T00:00:00"/>
    <x v="1"/>
    <x v="4"/>
    <n v="6"/>
    <n v="93.92"/>
    <s v="Store B"/>
    <x v="0"/>
    <n v="0.15"/>
    <x v="0"/>
    <n v="478.99200000000002"/>
    <x v="2"/>
    <s v="FREESHIP"/>
    <n v="0"/>
    <s v="REG100161"/>
    <s v="Cust 4438"/>
    <n v="11"/>
    <x v="141"/>
    <d v="2023-03-18T00:00:00"/>
    <s v="Sophie"/>
  </r>
  <r>
    <d v="2024-08-24T00:00:00"/>
    <x v="3"/>
    <x v="6"/>
    <n v="5"/>
    <n v="15.92"/>
    <s v="Store D"/>
    <x v="1"/>
    <n v="0"/>
    <x v="0"/>
    <n v="79.599999999999994"/>
    <x v="2"/>
    <m/>
    <n v="1"/>
    <s v="REG100162"/>
    <s v="Cust 3481"/>
    <n v="8.66"/>
    <x v="142"/>
    <d v="2024-08-26T00:00:00"/>
    <s v="Cameron"/>
  </r>
  <r>
    <d v="2024-02-23T00:00:00"/>
    <x v="1"/>
    <x v="4"/>
    <n v="16"/>
    <n v="120.22"/>
    <s v="Store D"/>
    <x v="1"/>
    <n v="0.15"/>
    <x v="5"/>
    <n v="1634.992"/>
    <x v="4"/>
    <s v="SAVE10"/>
    <n v="0"/>
    <s v="REG100163"/>
    <s v="Cust 1489"/>
    <n v="8.42"/>
    <x v="143"/>
    <d v="2024-03-01T00:00:00"/>
    <s v="Sophie"/>
  </r>
  <r>
    <d v="2024-01-30T00:00:00"/>
    <x v="2"/>
    <x v="4"/>
    <n v="11"/>
    <n v="118.8"/>
    <s v="Store A"/>
    <x v="1"/>
    <n v="0.05"/>
    <x v="0"/>
    <n v="1241.46"/>
    <x v="0"/>
    <s v="SAVE10"/>
    <n v="0"/>
    <s v="REG100164"/>
    <s v="Cust 6649"/>
    <n v="39.32"/>
    <x v="144"/>
    <d v="2024-02-06T00:00:00"/>
    <s v="Ryan"/>
  </r>
  <r>
    <d v="2024-01-23T00:00:00"/>
    <x v="0"/>
    <x v="5"/>
    <n v="10"/>
    <n v="92.45"/>
    <s v="Store C"/>
    <x v="0"/>
    <n v="0.1"/>
    <x v="2"/>
    <n v="832.05000000000007"/>
    <x v="4"/>
    <s v="WINTER15"/>
    <n v="1"/>
    <s v="REG100165"/>
    <s v="Cust 6114"/>
    <n v="42.61"/>
    <x v="145"/>
    <d v="2024-01-29T00:00:00"/>
    <s v="Eric"/>
  </r>
  <r>
    <d v="2023-01-05T00:00:00"/>
    <x v="2"/>
    <x v="0"/>
    <n v="19"/>
    <n v="463.51"/>
    <s v="Store B"/>
    <x v="1"/>
    <n v="0"/>
    <x v="5"/>
    <n v="8806.69"/>
    <x v="4"/>
    <s v="FREESHIP"/>
    <n v="0"/>
    <s v="REG100166"/>
    <s v="Cust 9589"/>
    <n v="49.38"/>
    <x v="82"/>
    <d v="2023-01-08T00:00:00"/>
    <s v="Ryan"/>
  </r>
  <r>
    <d v="2023-12-21T00:00:00"/>
    <x v="2"/>
    <x v="2"/>
    <n v="7"/>
    <n v="284.7"/>
    <s v="Store D"/>
    <x v="0"/>
    <n v="0.05"/>
    <x v="5"/>
    <n v="1893.2550000000001"/>
    <x v="1"/>
    <m/>
    <n v="0"/>
    <s v="REG100167"/>
    <s v="Cust 8184"/>
    <n v="5.36"/>
    <x v="146"/>
    <d v="2023-12-30T00:00:00"/>
    <s v="Ryan"/>
  </r>
  <r>
    <d v="2023-05-25T00:00:00"/>
    <x v="4"/>
    <x v="0"/>
    <n v="20"/>
    <n v="343.25"/>
    <s v="Store C"/>
    <x v="0"/>
    <n v="0.05"/>
    <x v="1"/>
    <n v="6521.75"/>
    <x v="3"/>
    <s v="FREESHIP"/>
    <n v="0"/>
    <s v="REG100168"/>
    <s v="Cust 2490"/>
    <n v="28.77"/>
    <x v="147"/>
    <d v="2023-06-02T00:00:00"/>
    <s v="Wendy"/>
  </r>
  <r>
    <d v="2025-06-30T00:00:00"/>
    <x v="3"/>
    <x v="3"/>
    <n v="6"/>
    <n v="95.24"/>
    <s v="Store D"/>
    <x v="0"/>
    <n v="0.15"/>
    <x v="4"/>
    <n v="485.72399999999988"/>
    <x v="1"/>
    <s v="FREESHIP"/>
    <n v="0"/>
    <s v="REG100169"/>
    <s v="Cust 1647"/>
    <n v="18.72"/>
    <x v="148"/>
    <d v="2025-07-08T00:00:00"/>
    <s v="Cameron"/>
  </r>
  <r>
    <d v="2025-02-12T00:00:00"/>
    <x v="4"/>
    <x v="2"/>
    <n v="13"/>
    <n v="104.8"/>
    <s v="Store B"/>
    <x v="1"/>
    <n v="0.05"/>
    <x v="4"/>
    <n v="1294.28"/>
    <x v="2"/>
    <s v="WINTER15"/>
    <n v="0"/>
    <s v="REG100170"/>
    <s v="Cust 2017"/>
    <n v="7.79"/>
    <x v="149"/>
    <d v="2025-02-19T00:00:00"/>
    <s v="Wendy"/>
  </r>
  <r>
    <d v="2024-01-03T00:00:00"/>
    <x v="4"/>
    <x v="5"/>
    <n v="12"/>
    <n v="164.31"/>
    <s v="Store B"/>
    <x v="0"/>
    <n v="0.1"/>
    <x v="0"/>
    <n v="1774.548"/>
    <x v="4"/>
    <m/>
    <n v="1"/>
    <s v="REG100171"/>
    <s v="Cust 3446"/>
    <n v="38.9"/>
    <x v="150"/>
    <d v="2024-01-07T00:00:00"/>
    <s v="Wendy"/>
  </r>
  <r>
    <d v="2023-02-03T00:00:00"/>
    <x v="1"/>
    <x v="5"/>
    <n v="10"/>
    <n v="325.18"/>
    <s v="Store C"/>
    <x v="0"/>
    <n v="0.1"/>
    <x v="1"/>
    <n v="2926.62"/>
    <x v="4"/>
    <s v="WINTER15"/>
    <n v="0"/>
    <s v="REG100172"/>
    <s v="Cust 4877"/>
    <n v="47.39"/>
    <x v="151"/>
    <d v="2023-02-13T00:00:00"/>
    <s v="Sophie"/>
  </r>
  <r>
    <d v="2024-03-01T00:00:00"/>
    <x v="0"/>
    <x v="4"/>
    <n v="17"/>
    <n v="542.82000000000005"/>
    <s v="Store A"/>
    <x v="0"/>
    <n v="0"/>
    <x v="1"/>
    <n v="9227.94"/>
    <x v="3"/>
    <s v="WINTER15"/>
    <n v="1"/>
    <s v="REG100173"/>
    <s v="Cust 9112"/>
    <n v="7.13"/>
    <x v="152"/>
    <d v="2024-03-08T00:00:00"/>
    <s v="Eric"/>
  </r>
  <r>
    <d v="2023-05-24T00:00:00"/>
    <x v="2"/>
    <x v="5"/>
    <n v="14"/>
    <n v="207.48"/>
    <s v="Store C"/>
    <x v="0"/>
    <n v="0.05"/>
    <x v="0"/>
    <n v="2759.483999999999"/>
    <x v="0"/>
    <m/>
    <n v="0"/>
    <s v="REG100174"/>
    <s v="Cust 8172"/>
    <n v="5.7"/>
    <x v="56"/>
    <d v="2023-06-02T00:00:00"/>
    <s v="Ryan"/>
  </r>
  <r>
    <d v="2025-06-22T00:00:00"/>
    <x v="2"/>
    <x v="6"/>
    <n v="17"/>
    <n v="527.88"/>
    <s v="Store D"/>
    <x v="1"/>
    <n v="0.05"/>
    <x v="5"/>
    <n v="8525.2619999999988"/>
    <x v="4"/>
    <s v="WINTER15"/>
    <n v="0"/>
    <s v="REG100175"/>
    <s v="Cust 4597"/>
    <n v="21.32"/>
    <x v="153"/>
    <d v="2025-06-28T00:00:00"/>
    <s v="Ryan"/>
  </r>
  <r>
    <d v="2023-04-10T00:00:00"/>
    <x v="2"/>
    <x v="3"/>
    <n v="11"/>
    <n v="71.209999999999994"/>
    <s v="Store B"/>
    <x v="1"/>
    <n v="0.05"/>
    <x v="4"/>
    <n v="744.14449999999988"/>
    <x v="0"/>
    <m/>
    <n v="1"/>
    <s v="REG100176"/>
    <s v="Cust 3690"/>
    <n v="44.2"/>
    <x v="154"/>
    <d v="2023-04-14T00:00:00"/>
    <s v="Ryan"/>
  </r>
  <r>
    <d v="2025-03-04T00:00:00"/>
    <x v="3"/>
    <x v="6"/>
    <n v="8"/>
    <n v="486.07"/>
    <s v="Store B"/>
    <x v="1"/>
    <n v="0"/>
    <x v="3"/>
    <n v="3888.56"/>
    <x v="3"/>
    <s v="FREESHIP"/>
    <n v="0"/>
    <s v="REG100177"/>
    <s v="Cust 2893"/>
    <n v="10.68"/>
    <x v="155"/>
    <d v="2025-03-10T00:00:00"/>
    <s v="Cameron"/>
  </r>
  <r>
    <d v="2024-07-11T00:00:00"/>
    <x v="0"/>
    <x v="0"/>
    <n v="6"/>
    <n v="555.03"/>
    <s v="Store C"/>
    <x v="1"/>
    <n v="0.1"/>
    <x v="2"/>
    <n v="2997.1619999999998"/>
    <x v="2"/>
    <m/>
    <n v="1"/>
    <s v="REG100178"/>
    <s v="Cust 5602"/>
    <n v="23.69"/>
    <x v="156"/>
    <d v="2024-07-20T00:00:00"/>
    <s v="Eric"/>
  </r>
  <r>
    <d v="2024-08-17T00:00:00"/>
    <x v="0"/>
    <x v="2"/>
    <n v="13"/>
    <n v="421.08"/>
    <s v="Store B"/>
    <x v="0"/>
    <n v="0"/>
    <x v="5"/>
    <n v="5474.04"/>
    <x v="4"/>
    <m/>
    <n v="0"/>
    <s v="REG100179"/>
    <s v="Cust 5616"/>
    <n v="24.51"/>
    <x v="157"/>
    <d v="2024-08-20T00:00:00"/>
    <s v="Eric"/>
  </r>
  <r>
    <d v="2025-06-30T00:00:00"/>
    <x v="2"/>
    <x v="0"/>
    <n v="16"/>
    <n v="76.17"/>
    <s v="Store D"/>
    <x v="0"/>
    <n v="0.1"/>
    <x v="1"/>
    <n v="1096.848"/>
    <x v="4"/>
    <s v="WINTER15"/>
    <n v="0"/>
    <s v="REG100180"/>
    <s v="Cust 1312"/>
    <n v="41.88"/>
    <x v="148"/>
    <d v="2025-07-09T00:00:00"/>
    <s v="Ryan"/>
  </r>
  <r>
    <d v="2024-11-06T00:00:00"/>
    <x v="1"/>
    <x v="6"/>
    <n v="3"/>
    <n v="503.55"/>
    <s v="Store C"/>
    <x v="0"/>
    <n v="0.1"/>
    <x v="5"/>
    <n v="1359.585"/>
    <x v="2"/>
    <s v="WINTER15"/>
    <n v="0"/>
    <s v="REG100181"/>
    <s v="Cust 6315"/>
    <n v="37.49"/>
    <x v="158"/>
    <d v="2024-11-13T00:00:00"/>
    <s v="Sophie"/>
  </r>
  <r>
    <d v="2025-04-01T00:00:00"/>
    <x v="0"/>
    <x v="5"/>
    <n v="5"/>
    <n v="31.56"/>
    <s v="Store D"/>
    <x v="1"/>
    <n v="0"/>
    <x v="4"/>
    <n v="157.80000000000001"/>
    <x v="0"/>
    <s v="SAVE10"/>
    <n v="1"/>
    <s v="REG100182"/>
    <s v="Cust 1224"/>
    <n v="29.56"/>
    <x v="159"/>
    <d v="2025-04-04T00:00:00"/>
    <s v="Eric"/>
  </r>
  <r>
    <d v="2024-07-01T00:00:00"/>
    <x v="4"/>
    <x v="0"/>
    <n v="16"/>
    <n v="72.92"/>
    <s v="Store C"/>
    <x v="0"/>
    <n v="0.05"/>
    <x v="2"/>
    <n v="1108.384"/>
    <x v="4"/>
    <s v="FREESHIP"/>
    <n v="0"/>
    <s v="REG100183"/>
    <s v="Cust 7182"/>
    <n v="5.7"/>
    <x v="160"/>
    <d v="2024-07-06T00:00:00"/>
    <s v="Wendy"/>
  </r>
  <r>
    <d v="2023-12-09T00:00:00"/>
    <x v="4"/>
    <x v="6"/>
    <n v="18"/>
    <n v="421.93"/>
    <s v="Store D"/>
    <x v="1"/>
    <n v="0.05"/>
    <x v="5"/>
    <n v="7215.0029999999997"/>
    <x v="1"/>
    <s v="WINTER15"/>
    <n v="0"/>
    <s v="REG100184"/>
    <s v="Cust 7901"/>
    <n v="23.42"/>
    <x v="63"/>
    <d v="2023-12-18T00:00:00"/>
    <s v="Wendy"/>
  </r>
  <r>
    <d v="2023-06-27T00:00:00"/>
    <x v="2"/>
    <x v="2"/>
    <n v="15"/>
    <n v="478.41"/>
    <s v="Store B"/>
    <x v="1"/>
    <n v="0.1"/>
    <x v="3"/>
    <n v="6458.5350000000008"/>
    <x v="3"/>
    <s v="FREESHIP"/>
    <n v="0"/>
    <s v="REG100185"/>
    <s v="Cust 1736"/>
    <n v="35.630000000000003"/>
    <x v="161"/>
    <d v="2023-06-30T00:00:00"/>
    <s v="Ryan"/>
  </r>
  <r>
    <d v="2023-07-14T00:00:00"/>
    <x v="1"/>
    <x v="3"/>
    <n v="9"/>
    <n v="501.74"/>
    <s v="Store D"/>
    <x v="1"/>
    <n v="0"/>
    <x v="5"/>
    <n v="4515.66"/>
    <x v="0"/>
    <s v="SAVE10"/>
    <n v="1"/>
    <s v="REG100186"/>
    <s v="Cust 7795"/>
    <n v="39.74"/>
    <x v="123"/>
    <d v="2023-07-17T00:00:00"/>
    <s v="Sophie"/>
  </r>
  <r>
    <d v="2023-02-08T00:00:00"/>
    <x v="1"/>
    <x v="5"/>
    <n v="7"/>
    <n v="247.53"/>
    <s v="Store C"/>
    <x v="0"/>
    <n v="0.15"/>
    <x v="1"/>
    <n v="1472.8035"/>
    <x v="1"/>
    <s v="FREESHIP"/>
    <n v="0"/>
    <s v="REG100187"/>
    <s v="Cust 2471"/>
    <n v="13.63"/>
    <x v="162"/>
    <d v="2023-02-16T00:00:00"/>
    <s v="Sophie"/>
  </r>
  <r>
    <d v="2024-06-28T00:00:00"/>
    <x v="4"/>
    <x v="5"/>
    <n v="6"/>
    <n v="176.51"/>
    <s v="Store C"/>
    <x v="0"/>
    <n v="0.15"/>
    <x v="3"/>
    <n v="900.20099999999991"/>
    <x v="3"/>
    <s v="FREESHIP"/>
    <n v="1"/>
    <s v="REG100188"/>
    <s v="Cust 3068"/>
    <n v="31.02"/>
    <x v="163"/>
    <d v="2024-07-07T00:00:00"/>
    <s v="Wendy"/>
  </r>
  <r>
    <d v="2024-04-15T00:00:00"/>
    <x v="4"/>
    <x v="0"/>
    <n v="2"/>
    <n v="143.43"/>
    <s v="Store D"/>
    <x v="0"/>
    <n v="0"/>
    <x v="5"/>
    <n v="286.86"/>
    <x v="2"/>
    <m/>
    <n v="0"/>
    <s v="REG100189"/>
    <s v="Cust 3848"/>
    <n v="36.94"/>
    <x v="164"/>
    <d v="2024-04-22T00:00:00"/>
    <s v="Wendy"/>
  </r>
  <r>
    <d v="2023-11-27T00:00:00"/>
    <x v="0"/>
    <x v="4"/>
    <n v="12"/>
    <n v="538.5"/>
    <s v="Store C"/>
    <x v="0"/>
    <n v="0.05"/>
    <x v="1"/>
    <n v="6138.9"/>
    <x v="4"/>
    <s v="SAVE10"/>
    <n v="0"/>
    <s v="REG100190"/>
    <s v="Cust 7777"/>
    <n v="18.54"/>
    <x v="165"/>
    <d v="2023-12-06T00:00:00"/>
    <s v="Eric"/>
  </r>
  <r>
    <d v="2025-03-27T00:00:00"/>
    <x v="0"/>
    <x v="6"/>
    <n v="5"/>
    <n v="87.17"/>
    <s v="Store D"/>
    <x v="0"/>
    <n v="0"/>
    <x v="3"/>
    <n v="435.85"/>
    <x v="3"/>
    <m/>
    <n v="0"/>
    <s v="REG100191"/>
    <s v="Cust 6613"/>
    <n v="13.01"/>
    <x v="166"/>
    <d v="2025-03-29T00:00:00"/>
    <s v="Eric"/>
  </r>
  <r>
    <d v="2023-08-06T00:00:00"/>
    <x v="1"/>
    <x v="4"/>
    <n v="7"/>
    <n v="498.32"/>
    <s v="Store B"/>
    <x v="0"/>
    <n v="0.1"/>
    <x v="1"/>
    <n v="3139.4160000000002"/>
    <x v="2"/>
    <s v="WINTER15"/>
    <n v="1"/>
    <s v="REG100192"/>
    <s v="Cust 2326"/>
    <n v="27.65"/>
    <x v="23"/>
    <d v="2023-08-10T00:00:00"/>
    <s v="Sophie"/>
  </r>
  <r>
    <d v="2024-12-13T00:00:00"/>
    <x v="1"/>
    <x v="6"/>
    <n v="15"/>
    <n v="57.14"/>
    <s v="Store B"/>
    <x v="0"/>
    <n v="0.15"/>
    <x v="3"/>
    <n v="728.53499999999997"/>
    <x v="3"/>
    <s v="FREESHIP"/>
    <n v="0"/>
    <s v="REG100193"/>
    <s v="Cust 8304"/>
    <n v="7.02"/>
    <x v="167"/>
    <d v="2024-12-22T00:00:00"/>
    <s v="Sophie"/>
  </r>
  <r>
    <d v="2025-01-17T00:00:00"/>
    <x v="3"/>
    <x v="5"/>
    <n v="18"/>
    <n v="124.18"/>
    <s v="Store B"/>
    <x v="0"/>
    <n v="0.15"/>
    <x v="3"/>
    <n v="1899.954"/>
    <x v="3"/>
    <s v="SAVE10"/>
    <n v="0"/>
    <s v="REG100194"/>
    <s v="Cust 3630"/>
    <n v="45.77"/>
    <x v="50"/>
    <d v="2025-01-26T00:00:00"/>
    <s v="Cameron"/>
  </r>
  <r>
    <d v="2023-11-26T00:00:00"/>
    <x v="4"/>
    <x v="2"/>
    <n v="12"/>
    <n v="107.45"/>
    <s v="Store C"/>
    <x v="1"/>
    <n v="0.1"/>
    <x v="5"/>
    <n v="1160.46"/>
    <x v="0"/>
    <s v="FREESHIP"/>
    <n v="0"/>
    <s v="REG100195"/>
    <s v="Cust 8617"/>
    <n v="18.170000000000002"/>
    <x v="168"/>
    <d v="2023-12-02T00:00:00"/>
    <s v="Wendy"/>
  </r>
  <r>
    <d v="2023-02-14T00:00:00"/>
    <x v="0"/>
    <x v="3"/>
    <n v="8"/>
    <n v="411.26"/>
    <s v="Store A"/>
    <x v="1"/>
    <n v="0.1"/>
    <x v="2"/>
    <n v="2961.0720000000001"/>
    <x v="1"/>
    <s v="WINTER15"/>
    <n v="0"/>
    <s v="REG100196"/>
    <s v="Cust 3530"/>
    <n v="28.57"/>
    <x v="169"/>
    <d v="2023-02-18T00:00:00"/>
    <s v="Eric"/>
  </r>
  <r>
    <d v="2025-02-02T00:00:00"/>
    <x v="3"/>
    <x v="6"/>
    <n v="7"/>
    <n v="248.1"/>
    <s v="Store C"/>
    <x v="1"/>
    <n v="0"/>
    <x v="4"/>
    <n v="1736.7"/>
    <x v="4"/>
    <s v="WINTER15"/>
    <n v="0"/>
    <s v="REG100197"/>
    <s v="Cust 3884"/>
    <n v="31.8"/>
    <x v="170"/>
    <d v="2025-02-06T00:00:00"/>
    <s v="Cameron"/>
  </r>
  <r>
    <d v="2023-04-11T00:00:00"/>
    <x v="4"/>
    <x v="6"/>
    <n v="3"/>
    <n v="486.52"/>
    <s v="Store B"/>
    <x v="0"/>
    <n v="0.1"/>
    <x v="3"/>
    <n v="1313.604"/>
    <x v="1"/>
    <m/>
    <n v="0"/>
    <s v="REG100198"/>
    <s v="Cust 5739"/>
    <n v="16.5"/>
    <x v="171"/>
    <d v="2023-04-20T00:00:00"/>
    <s v="Wendy"/>
  </r>
  <r>
    <d v="2024-07-08T00:00:00"/>
    <x v="2"/>
    <x v="4"/>
    <n v="18"/>
    <n v="415.04"/>
    <s v="Store C"/>
    <x v="0"/>
    <n v="0.1"/>
    <x v="0"/>
    <n v="6723.6480000000001"/>
    <x v="4"/>
    <s v="WINTER15"/>
    <n v="0"/>
    <s v="REG100199"/>
    <s v="Cust 9707"/>
    <n v="33.58"/>
    <x v="172"/>
    <d v="2024-07-13T00:00:00"/>
    <s v="Ryan"/>
  </r>
  <r>
    <d v="2023-02-08T00:00:00"/>
    <x v="3"/>
    <x v="6"/>
    <n v="19"/>
    <n v="165.38"/>
    <s v="Store B"/>
    <x v="0"/>
    <n v="0.15"/>
    <x v="1"/>
    <n v="2670.8870000000002"/>
    <x v="0"/>
    <m/>
    <n v="0"/>
    <s v="REG100200"/>
    <s v="Cust 9288"/>
    <n v="25.2"/>
    <x v="162"/>
    <d v="2023-02-14T00:00:00"/>
    <s v="Cameron"/>
  </r>
  <r>
    <d v="2024-04-09T00:00:00"/>
    <x v="4"/>
    <x v="2"/>
    <n v="2"/>
    <n v="117.47"/>
    <s v="Store C"/>
    <x v="0"/>
    <n v="0"/>
    <x v="0"/>
    <n v="234.94"/>
    <x v="2"/>
    <s v="FREESHIP"/>
    <n v="0"/>
    <s v="REG100201"/>
    <s v="Cust 1216"/>
    <n v="6.58"/>
    <x v="173"/>
    <d v="2024-04-16T00:00:00"/>
    <s v="Wendy"/>
  </r>
  <r>
    <d v="2023-08-14T00:00:00"/>
    <x v="3"/>
    <x v="6"/>
    <n v="9"/>
    <n v="461.79"/>
    <s v="Store C"/>
    <x v="0"/>
    <n v="0.15"/>
    <x v="2"/>
    <n v="3532.6934999999999"/>
    <x v="1"/>
    <m/>
    <n v="0"/>
    <s v="REG100202"/>
    <s v="Cust 2489"/>
    <n v="47.81"/>
    <x v="174"/>
    <d v="2023-08-18T00:00:00"/>
    <s v="Cameron"/>
  </r>
  <r>
    <d v="2024-09-02T00:00:00"/>
    <x v="4"/>
    <x v="5"/>
    <n v="19"/>
    <n v="208.72"/>
    <s v="Store D"/>
    <x v="1"/>
    <n v="0.05"/>
    <x v="2"/>
    <n v="3767.3960000000002"/>
    <x v="2"/>
    <s v="FREESHIP"/>
    <n v="0"/>
    <s v="REG100203"/>
    <s v="Cust 7171"/>
    <n v="38.409999999999997"/>
    <x v="175"/>
    <d v="2024-09-06T00:00:00"/>
    <s v="Wendy"/>
  </r>
  <r>
    <d v="2025-06-29T00:00:00"/>
    <x v="3"/>
    <x v="4"/>
    <n v="16"/>
    <n v="278.13"/>
    <s v="Store A"/>
    <x v="0"/>
    <n v="0.15"/>
    <x v="1"/>
    <n v="3782.5680000000002"/>
    <x v="4"/>
    <s v="SAVE10"/>
    <n v="0"/>
    <s v="REG100204"/>
    <s v="Cust 9125"/>
    <n v="24.29"/>
    <x v="176"/>
    <d v="2025-07-04T00:00:00"/>
    <s v="Cameron"/>
  </r>
  <r>
    <d v="2025-04-02T00:00:00"/>
    <x v="4"/>
    <x v="0"/>
    <n v="2"/>
    <n v="580.19000000000005"/>
    <s v="Store B"/>
    <x v="0"/>
    <n v="0.05"/>
    <x v="4"/>
    <n v="1102.3610000000001"/>
    <x v="3"/>
    <s v="WINTER15"/>
    <n v="0"/>
    <s v="REG100205"/>
    <s v="Cust 9697"/>
    <n v="7.33"/>
    <x v="177"/>
    <d v="2025-04-08T00:00:00"/>
    <s v="Wendy"/>
  </r>
  <r>
    <d v="2023-04-27T00:00:00"/>
    <x v="3"/>
    <x v="5"/>
    <n v="8"/>
    <n v="536.42999999999995"/>
    <s v="Store B"/>
    <x v="1"/>
    <n v="0"/>
    <x v="3"/>
    <n v="4291.4399999999996"/>
    <x v="4"/>
    <m/>
    <n v="1"/>
    <s v="REG100206"/>
    <s v="Cust 8171"/>
    <n v="14.58"/>
    <x v="178"/>
    <d v="2023-05-07T00:00:00"/>
    <s v="Cameron"/>
  </r>
  <r>
    <d v="2024-08-07T00:00:00"/>
    <x v="0"/>
    <x v="1"/>
    <n v="1"/>
    <n v="94.33"/>
    <s v="Store A"/>
    <x v="0"/>
    <n v="0"/>
    <x v="3"/>
    <n v="94.33"/>
    <x v="0"/>
    <m/>
    <n v="0"/>
    <s v="REG100207"/>
    <s v="Cust 2004"/>
    <n v="49.17"/>
    <x v="179"/>
    <d v="2024-08-17T00:00:00"/>
    <s v="Eric"/>
  </r>
  <r>
    <d v="2023-04-15T00:00:00"/>
    <x v="4"/>
    <x v="0"/>
    <n v="16"/>
    <n v="489.94"/>
    <s v="Store C"/>
    <x v="1"/>
    <n v="0.1"/>
    <x v="2"/>
    <n v="7055.1360000000004"/>
    <x v="4"/>
    <s v="SAVE10"/>
    <n v="0"/>
    <s v="REG100208"/>
    <s v="Cust 4214"/>
    <n v="9.69"/>
    <x v="180"/>
    <d v="2023-04-25T00:00:00"/>
    <s v="Wendy"/>
  </r>
  <r>
    <d v="2023-08-12T00:00:00"/>
    <x v="1"/>
    <x v="2"/>
    <n v="4"/>
    <n v="551.71"/>
    <s v="Store A"/>
    <x v="1"/>
    <n v="0.05"/>
    <x v="0"/>
    <n v="2096.498"/>
    <x v="1"/>
    <m/>
    <n v="1"/>
    <s v="REG100209"/>
    <s v="Cust 9837"/>
    <n v="26.32"/>
    <x v="181"/>
    <d v="2023-08-15T00:00:00"/>
    <s v="Sophie"/>
  </r>
  <r>
    <d v="2023-06-19T00:00:00"/>
    <x v="4"/>
    <x v="6"/>
    <n v="17"/>
    <n v="595.57000000000005"/>
    <s v="Store D"/>
    <x v="1"/>
    <n v="0.15"/>
    <x v="5"/>
    <n v="8605.9865000000009"/>
    <x v="2"/>
    <s v="WINTER15"/>
    <n v="0"/>
    <s v="REG100210"/>
    <s v="Cust 2082"/>
    <n v="9.73"/>
    <x v="182"/>
    <d v="2023-06-28T00:00:00"/>
    <s v="Wendy"/>
  </r>
  <r>
    <d v="2023-12-29T00:00:00"/>
    <x v="0"/>
    <x v="6"/>
    <n v="1"/>
    <n v="180.12"/>
    <s v="Store A"/>
    <x v="0"/>
    <n v="0.1"/>
    <x v="0"/>
    <n v="162.108"/>
    <x v="3"/>
    <m/>
    <n v="0"/>
    <s v="REG100211"/>
    <s v="Cust 3001"/>
    <n v="27.07"/>
    <x v="183"/>
    <d v="2024-01-07T00:00:00"/>
    <s v="Eric"/>
  </r>
  <r>
    <d v="2023-03-26T00:00:00"/>
    <x v="0"/>
    <x v="2"/>
    <n v="12"/>
    <n v="301.5"/>
    <s v="Store D"/>
    <x v="1"/>
    <n v="0.15"/>
    <x v="5"/>
    <n v="3075.3"/>
    <x v="2"/>
    <s v="FREESHIP"/>
    <n v="1"/>
    <s v="REG100212"/>
    <s v="Cust 6161"/>
    <n v="43.67"/>
    <x v="184"/>
    <d v="2023-03-30T00:00:00"/>
    <s v="Eric"/>
  </r>
  <r>
    <d v="2023-09-01T00:00:00"/>
    <x v="1"/>
    <x v="1"/>
    <n v="20"/>
    <n v="273.55"/>
    <s v="Store D"/>
    <x v="1"/>
    <n v="0.15"/>
    <x v="2"/>
    <n v="4650.3499999999995"/>
    <x v="3"/>
    <m/>
    <n v="0"/>
    <s v="REG100213"/>
    <s v="Cust 5220"/>
    <n v="14.76"/>
    <x v="185"/>
    <d v="2023-09-07T00:00:00"/>
    <s v="Sophie"/>
  </r>
  <r>
    <d v="2024-08-05T00:00:00"/>
    <x v="4"/>
    <x v="5"/>
    <n v="6"/>
    <n v="187.06"/>
    <s v="Store B"/>
    <x v="0"/>
    <n v="0.1"/>
    <x v="2"/>
    <n v="1010.124"/>
    <x v="3"/>
    <s v="FREESHIP"/>
    <n v="0"/>
    <s v="REG100214"/>
    <s v="Cust 3386"/>
    <n v="11.03"/>
    <x v="186"/>
    <d v="2024-08-13T00:00:00"/>
    <s v="Wendy"/>
  </r>
  <r>
    <d v="2025-01-23T00:00:00"/>
    <x v="2"/>
    <x v="3"/>
    <n v="16"/>
    <n v="562.52"/>
    <s v="Store D"/>
    <x v="1"/>
    <n v="0"/>
    <x v="2"/>
    <n v="9000.32"/>
    <x v="1"/>
    <m/>
    <n v="0"/>
    <s v="REG100215"/>
    <s v="Cust 1591"/>
    <n v="18.23"/>
    <x v="187"/>
    <d v="2025-01-27T00:00:00"/>
    <s v="Ryan"/>
  </r>
  <r>
    <d v="2023-05-16T00:00:00"/>
    <x v="0"/>
    <x v="5"/>
    <n v="4"/>
    <n v="85.16"/>
    <s v="Store D"/>
    <x v="0"/>
    <n v="0.1"/>
    <x v="3"/>
    <n v="306.57600000000002"/>
    <x v="2"/>
    <m/>
    <n v="0"/>
    <s v="REG100216"/>
    <s v="Cust 3434"/>
    <n v="38.51"/>
    <x v="188"/>
    <d v="2023-05-23T00:00:00"/>
    <s v="Eric"/>
  </r>
  <r>
    <d v="2023-02-14T00:00:00"/>
    <x v="2"/>
    <x v="5"/>
    <n v="12"/>
    <n v="451.51"/>
    <s v="Store B"/>
    <x v="0"/>
    <n v="0.15"/>
    <x v="3"/>
    <n v="4605.402"/>
    <x v="0"/>
    <s v="WINTER15"/>
    <n v="0"/>
    <s v="REG100217"/>
    <s v="Cust 1501"/>
    <n v="9.5399999999999991"/>
    <x v="169"/>
    <d v="2023-02-22T00:00:00"/>
    <s v="Ryan"/>
  </r>
  <r>
    <d v="2024-06-03T00:00:00"/>
    <x v="3"/>
    <x v="5"/>
    <n v="1"/>
    <n v="259.87"/>
    <s v="Store D"/>
    <x v="1"/>
    <n v="0.15"/>
    <x v="0"/>
    <n v="220.8895"/>
    <x v="1"/>
    <s v="FREESHIP"/>
    <n v="0"/>
    <s v="REG100218"/>
    <s v="Cust 9683"/>
    <n v="19.2"/>
    <x v="189"/>
    <d v="2024-06-12T00:00:00"/>
    <s v="Cameron"/>
  </r>
  <r>
    <d v="2023-11-08T00:00:00"/>
    <x v="3"/>
    <x v="5"/>
    <n v="20"/>
    <n v="268.25"/>
    <s v="Store D"/>
    <x v="1"/>
    <n v="0.05"/>
    <x v="4"/>
    <n v="5096.75"/>
    <x v="4"/>
    <s v="FREESHIP"/>
    <n v="0"/>
    <s v="REG100219"/>
    <s v="Cust 5416"/>
    <n v="20.96"/>
    <x v="190"/>
    <d v="2023-11-15T00:00:00"/>
    <s v="Cameron"/>
  </r>
  <r>
    <d v="2023-01-24T00:00:00"/>
    <x v="4"/>
    <x v="1"/>
    <n v="10"/>
    <n v="266.13"/>
    <s v="Store B"/>
    <x v="0"/>
    <n v="0"/>
    <x v="4"/>
    <n v="2661.3"/>
    <x v="1"/>
    <s v="WINTER15"/>
    <n v="0"/>
    <s v="REG100220"/>
    <s v="Cust 2153"/>
    <n v="21.01"/>
    <x v="191"/>
    <d v="2023-01-26T00:00:00"/>
    <s v="Wendy"/>
  </r>
  <r>
    <d v="2025-03-20T00:00:00"/>
    <x v="4"/>
    <x v="0"/>
    <n v="18"/>
    <n v="493.06"/>
    <s v="Store D"/>
    <x v="0"/>
    <n v="0.05"/>
    <x v="4"/>
    <n v="8431.3259999999991"/>
    <x v="4"/>
    <s v="WINTER15"/>
    <n v="1"/>
    <s v="REG100221"/>
    <s v="Cust 3572"/>
    <n v="46.87"/>
    <x v="192"/>
    <d v="2025-03-28T00:00:00"/>
    <s v="Wendy"/>
  </r>
  <r>
    <d v="2024-02-22T00:00:00"/>
    <x v="4"/>
    <x v="4"/>
    <n v="4"/>
    <n v="36.82"/>
    <s v="Store C"/>
    <x v="0"/>
    <n v="0.05"/>
    <x v="2"/>
    <n v="139.916"/>
    <x v="2"/>
    <s v="WINTER15"/>
    <n v="1"/>
    <s v="REG100222"/>
    <s v="Cust 6372"/>
    <n v="24.86"/>
    <x v="193"/>
    <d v="2024-03-01T00:00:00"/>
    <s v="Wendy"/>
  </r>
  <r>
    <d v="2025-04-02T00:00:00"/>
    <x v="2"/>
    <x v="6"/>
    <n v="12"/>
    <n v="413.45"/>
    <s v="Store D"/>
    <x v="1"/>
    <n v="0.15"/>
    <x v="5"/>
    <n v="4217.1899999999996"/>
    <x v="4"/>
    <s v="FREESHIP"/>
    <n v="0"/>
    <s v="REG100223"/>
    <s v="Cust 6109"/>
    <n v="23.25"/>
    <x v="177"/>
    <d v="2025-04-10T00:00:00"/>
    <s v="Ryan"/>
  </r>
  <r>
    <d v="2025-06-12T00:00:00"/>
    <x v="2"/>
    <x v="3"/>
    <n v="19"/>
    <n v="446.25"/>
    <s v="Store B"/>
    <x v="1"/>
    <n v="0.1"/>
    <x v="0"/>
    <n v="7630.875"/>
    <x v="1"/>
    <m/>
    <n v="0"/>
    <s v="REG100224"/>
    <s v="Cust 5234"/>
    <n v="14.88"/>
    <x v="103"/>
    <d v="2025-06-18T00:00:00"/>
    <s v="Ryan"/>
  </r>
  <r>
    <d v="2023-05-13T00:00:00"/>
    <x v="0"/>
    <x v="0"/>
    <n v="7"/>
    <n v="82.77"/>
    <s v="Store D"/>
    <x v="0"/>
    <n v="0.15"/>
    <x v="2"/>
    <n v="492.48149999999998"/>
    <x v="3"/>
    <s v="SAVE10"/>
    <n v="1"/>
    <s v="REG100225"/>
    <s v="Cust 5530"/>
    <n v="15.66"/>
    <x v="194"/>
    <d v="2023-05-17T00:00:00"/>
    <s v="Eric"/>
  </r>
  <r>
    <d v="2023-03-25T00:00:00"/>
    <x v="1"/>
    <x v="2"/>
    <n v="17"/>
    <n v="339.88"/>
    <s v="Store A"/>
    <x v="1"/>
    <n v="0"/>
    <x v="1"/>
    <n v="5777.96"/>
    <x v="4"/>
    <m/>
    <n v="0"/>
    <s v="REG100226"/>
    <s v="Cust 5398"/>
    <n v="44.86"/>
    <x v="195"/>
    <d v="2023-03-28T00:00:00"/>
    <s v="Sophie"/>
  </r>
  <r>
    <d v="2024-11-22T00:00:00"/>
    <x v="1"/>
    <x v="6"/>
    <n v="19"/>
    <n v="364.32"/>
    <s v="Store B"/>
    <x v="1"/>
    <n v="0.15"/>
    <x v="2"/>
    <n v="5883.768"/>
    <x v="3"/>
    <m/>
    <n v="1"/>
    <s v="REG100227"/>
    <s v="Cust 3247"/>
    <n v="39.76"/>
    <x v="196"/>
    <d v="2024-11-25T00:00:00"/>
    <s v="Sophie"/>
  </r>
  <r>
    <d v="2023-07-07T00:00:00"/>
    <x v="0"/>
    <x v="5"/>
    <n v="3"/>
    <n v="71.91"/>
    <s v="Store B"/>
    <x v="0"/>
    <n v="0"/>
    <x v="1"/>
    <n v="215.73"/>
    <x v="1"/>
    <s v="WINTER15"/>
    <n v="1"/>
    <s v="REG100228"/>
    <s v="Cust 7137"/>
    <n v="46.25"/>
    <x v="197"/>
    <d v="2023-07-17T00:00:00"/>
    <s v="Eric"/>
  </r>
  <r>
    <d v="2024-10-05T00:00:00"/>
    <x v="0"/>
    <x v="5"/>
    <n v="20"/>
    <n v="576.29999999999995"/>
    <s v="Store D"/>
    <x v="0"/>
    <n v="0.05"/>
    <x v="0"/>
    <n v="10949.7"/>
    <x v="2"/>
    <m/>
    <n v="0"/>
    <s v="REG100229"/>
    <s v="Cust 4627"/>
    <n v="25.22"/>
    <x v="198"/>
    <d v="2024-10-09T00:00:00"/>
    <s v="Eric"/>
  </r>
  <r>
    <d v="2024-03-31T00:00:00"/>
    <x v="4"/>
    <x v="0"/>
    <n v="7"/>
    <n v="120.6"/>
    <s v="Store B"/>
    <x v="0"/>
    <n v="0"/>
    <x v="4"/>
    <n v="844.19999999999993"/>
    <x v="0"/>
    <s v="WINTER15"/>
    <n v="0"/>
    <s v="REG100230"/>
    <s v="Cust 4878"/>
    <n v="43.8"/>
    <x v="199"/>
    <d v="2024-04-08T00:00:00"/>
    <s v="Wendy"/>
  </r>
  <r>
    <d v="2025-04-01T00:00:00"/>
    <x v="4"/>
    <x v="6"/>
    <n v="8"/>
    <n v="96.19"/>
    <s v="Store A"/>
    <x v="0"/>
    <n v="0.05"/>
    <x v="3"/>
    <n v="731.04399999999998"/>
    <x v="3"/>
    <s v="SAVE10"/>
    <n v="0"/>
    <s v="REG100231"/>
    <s v="Cust 2779"/>
    <n v="34.07"/>
    <x v="159"/>
    <d v="2025-04-04T00:00:00"/>
    <s v="Wendy"/>
  </r>
  <r>
    <d v="2023-08-23T00:00:00"/>
    <x v="4"/>
    <x v="6"/>
    <n v="14"/>
    <n v="471.17"/>
    <s v="Store A"/>
    <x v="0"/>
    <n v="0.05"/>
    <x v="3"/>
    <n v="6266.5609999999997"/>
    <x v="1"/>
    <s v="FREESHIP"/>
    <n v="0"/>
    <s v="REG100232"/>
    <s v="Cust 8606"/>
    <n v="26.38"/>
    <x v="200"/>
    <d v="2023-08-26T00:00:00"/>
    <s v="Wendy"/>
  </r>
  <r>
    <d v="2024-08-14T00:00:00"/>
    <x v="1"/>
    <x v="1"/>
    <n v="20"/>
    <n v="14.33"/>
    <s v="Store D"/>
    <x v="0"/>
    <n v="0.1"/>
    <x v="3"/>
    <n v="257.94000000000011"/>
    <x v="3"/>
    <m/>
    <n v="0"/>
    <s v="REG100233"/>
    <s v="Cust 9599"/>
    <n v="6.22"/>
    <x v="201"/>
    <d v="2024-08-21T00:00:00"/>
    <s v="Sophie"/>
  </r>
  <r>
    <d v="2025-02-14T00:00:00"/>
    <x v="3"/>
    <x v="5"/>
    <n v="18"/>
    <n v="499.61"/>
    <s v="Store B"/>
    <x v="1"/>
    <n v="0.15"/>
    <x v="1"/>
    <n v="7644.0329999999994"/>
    <x v="3"/>
    <m/>
    <n v="0"/>
    <s v="REG100234"/>
    <s v="Cust 4500"/>
    <n v="9.64"/>
    <x v="202"/>
    <d v="2025-02-19T00:00:00"/>
    <s v="Cameron"/>
  </r>
  <r>
    <d v="2023-11-11T00:00:00"/>
    <x v="4"/>
    <x v="4"/>
    <n v="14"/>
    <n v="16.329999999999998"/>
    <s v="Store B"/>
    <x v="0"/>
    <n v="0.1"/>
    <x v="4"/>
    <n v="205.75800000000001"/>
    <x v="3"/>
    <s v="WINTER15"/>
    <n v="0"/>
    <s v="REG100235"/>
    <s v="Cust 4173"/>
    <n v="22.72"/>
    <x v="203"/>
    <d v="2023-11-16T00:00:00"/>
    <s v="Wendy"/>
  </r>
  <r>
    <d v="2024-04-01T00:00:00"/>
    <x v="3"/>
    <x v="2"/>
    <n v="17"/>
    <n v="480.62"/>
    <s v="Store C"/>
    <x v="0"/>
    <n v="0.15"/>
    <x v="3"/>
    <n v="6944.9589999999998"/>
    <x v="0"/>
    <s v="FREESHIP"/>
    <n v="0"/>
    <s v="REG100236"/>
    <s v="Cust 7607"/>
    <n v="37.090000000000003"/>
    <x v="204"/>
    <d v="2024-04-09T00:00:00"/>
    <s v="Cameron"/>
  </r>
  <r>
    <d v="2024-06-13T00:00:00"/>
    <x v="1"/>
    <x v="3"/>
    <n v="5"/>
    <n v="555.84"/>
    <s v="Store C"/>
    <x v="1"/>
    <n v="0.05"/>
    <x v="4"/>
    <n v="2640.24"/>
    <x v="2"/>
    <m/>
    <n v="0"/>
    <s v="REG100237"/>
    <s v="Cust 4768"/>
    <n v="29.4"/>
    <x v="205"/>
    <d v="2024-06-20T00:00:00"/>
    <s v="Sophie"/>
  </r>
  <r>
    <d v="2023-11-28T00:00:00"/>
    <x v="2"/>
    <x v="3"/>
    <n v="18"/>
    <n v="174.03"/>
    <s v="Store B"/>
    <x v="0"/>
    <n v="0.1"/>
    <x v="2"/>
    <n v="2819.2860000000001"/>
    <x v="0"/>
    <s v="SAVE10"/>
    <n v="0"/>
    <s v="REG100238"/>
    <s v="Cust 5746"/>
    <n v="32.19"/>
    <x v="206"/>
    <d v="2023-12-03T00:00:00"/>
    <s v="Ryan"/>
  </r>
  <r>
    <d v="2024-11-11T00:00:00"/>
    <x v="3"/>
    <x v="2"/>
    <n v="11"/>
    <n v="286.05"/>
    <s v="Store A"/>
    <x v="1"/>
    <n v="0.1"/>
    <x v="5"/>
    <n v="2831.895"/>
    <x v="3"/>
    <m/>
    <n v="1"/>
    <s v="REG100239"/>
    <s v="Cust 3002"/>
    <n v="8.59"/>
    <x v="207"/>
    <d v="2024-11-16T00:00:00"/>
    <s v="Cameron"/>
  </r>
  <r>
    <d v="2024-11-04T00:00:00"/>
    <x v="2"/>
    <x v="2"/>
    <n v="16"/>
    <n v="40.729999999999997"/>
    <s v="Store D"/>
    <x v="1"/>
    <n v="0"/>
    <x v="1"/>
    <n v="651.67999999999995"/>
    <x v="2"/>
    <m/>
    <n v="0"/>
    <s v="REG100240"/>
    <s v="Cust 3237"/>
    <n v="24.72"/>
    <x v="208"/>
    <d v="2024-11-08T00:00:00"/>
    <s v="Ryan"/>
  </r>
  <r>
    <d v="2023-01-01T00:00:00"/>
    <x v="3"/>
    <x v="3"/>
    <n v="11"/>
    <n v="468.22"/>
    <s v="Store D"/>
    <x v="1"/>
    <n v="0"/>
    <x v="3"/>
    <n v="5150.42"/>
    <x v="3"/>
    <s v="WINTER15"/>
    <n v="0"/>
    <s v="REG100241"/>
    <s v="Cust 6437"/>
    <n v="19.920000000000002"/>
    <x v="209"/>
    <d v="2023-01-11T00:00:00"/>
    <s v="Cameron"/>
  </r>
  <r>
    <d v="2025-01-18T00:00:00"/>
    <x v="2"/>
    <x v="5"/>
    <n v="1"/>
    <n v="411.54"/>
    <s v="Store C"/>
    <x v="1"/>
    <n v="0.1"/>
    <x v="0"/>
    <n v="370.38600000000002"/>
    <x v="1"/>
    <s v="WINTER15"/>
    <n v="0"/>
    <s v="REG100242"/>
    <s v="Cust 8806"/>
    <n v="7.46"/>
    <x v="13"/>
    <d v="2025-01-20T00:00:00"/>
    <s v="Ryan"/>
  </r>
  <r>
    <d v="2023-05-02T00:00:00"/>
    <x v="3"/>
    <x v="6"/>
    <n v="13"/>
    <n v="134.19999999999999"/>
    <s v="Store A"/>
    <x v="0"/>
    <n v="0.05"/>
    <x v="0"/>
    <n v="1657.37"/>
    <x v="2"/>
    <s v="WINTER15"/>
    <n v="0"/>
    <s v="REG100243"/>
    <s v="Cust 8678"/>
    <n v="9.6"/>
    <x v="210"/>
    <d v="2023-05-10T00:00:00"/>
    <s v="Cameron"/>
  </r>
  <r>
    <d v="2025-05-27T00:00:00"/>
    <x v="4"/>
    <x v="6"/>
    <n v="10"/>
    <n v="351.23"/>
    <s v="Store B"/>
    <x v="1"/>
    <n v="0.15"/>
    <x v="2"/>
    <n v="2985.4549999999999"/>
    <x v="0"/>
    <m/>
    <n v="0"/>
    <s v="REG100244"/>
    <s v="Cust 9649"/>
    <n v="42.74"/>
    <x v="211"/>
    <d v="2025-06-02T00:00:00"/>
    <s v="Wendy"/>
  </r>
  <r>
    <d v="2024-12-27T00:00:00"/>
    <x v="1"/>
    <x v="4"/>
    <n v="14"/>
    <n v="551.14"/>
    <s v="Store C"/>
    <x v="0"/>
    <n v="0.1"/>
    <x v="4"/>
    <n v="6944.3639999999996"/>
    <x v="0"/>
    <s v="FREESHIP"/>
    <n v="1"/>
    <s v="REG100245"/>
    <s v="Cust 1960"/>
    <n v="12.35"/>
    <x v="212"/>
    <d v="2025-01-05T00:00:00"/>
    <s v="Sophie"/>
  </r>
  <r>
    <d v="2025-03-18T00:00:00"/>
    <x v="4"/>
    <x v="3"/>
    <n v="2"/>
    <n v="131.13"/>
    <s v="Store B"/>
    <x v="1"/>
    <n v="0.1"/>
    <x v="0"/>
    <n v="236.03399999999999"/>
    <x v="3"/>
    <m/>
    <n v="0"/>
    <s v="REG100246"/>
    <s v="Cust 3910"/>
    <n v="14.74"/>
    <x v="213"/>
    <d v="2025-03-24T00:00:00"/>
    <s v="Wendy"/>
  </r>
  <r>
    <d v="2024-03-24T00:00:00"/>
    <x v="0"/>
    <x v="0"/>
    <n v="6"/>
    <n v="595.11"/>
    <s v="Store C"/>
    <x v="0"/>
    <n v="0"/>
    <x v="4"/>
    <n v="3570.66"/>
    <x v="4"/>
    <s v="SAVE10"/>
    <n v="1"/>
    <s v="REG100247"/>
    <s v="Cust 4944"/>
    <n v="28.92"/>
    <x v="214"/>
    <d v="2024-03-31T00:00:00"/>
    <s v="Eric"/>
  </r>
  <r>
    <d v="2024-12-26T00:00:00"/>
    <x v="0"/>
    <x v="0"/>
    <n v="6"/>
    <n v="516.66"/>
    <s v="Store C"/>
    <x v="0"/>
    <n v="0.05"/>
    <x v="5"/>
    <n v="2944.962"/>
    <x v="0"/>
    <m/>
    <n v="1"/>
    <s v="REG100248"/>
    <s v="Cust 9618"/>
    <n v="5.15"/>
    <x v="215"/>
    <d v="2025-01-03T00:00:00"/>
    <s v="Eric"/>
  </r>
  <r>
    <d v="2023-01-11T00:00:00"/>
    <x v="2"/>
    <x v="2"/>
    <n v="6"/>
    <n v="202.57"/>
    <s v="Store D"/>
    <x v="1"/>
    <n v="0.05"/>
    <x v="0"/>
    <n v="1154.6489999999999"/>
    <x v="1"/>
    <s v="FREESHIP"/>
    <n v="0"/>
    <s v="REG100249"/>
    <s v="Cust 2279"/>
    <n v="24.39"/>
    <x v="6"/>
    <d v="2023-01-14T00:00:00"/>
    <s v="Ryan"/>
  </r>
  <r>
    <d v="2025-06-01T00:00:00"/>
    <x v="1"/>
    <x v="0"/>
    <n v="13"/>
    <n v="306.16000000000003"/>
    <s v="Store A"/>
    <x v="0"/>
    <n v="0.15"/>
    <x v="2"/>
    <n v="3383.0680000000002"/>
    <x v="4"/>
    <s v="SAVE10"/>
    <n v="0"/>
    <s v="REG100250"/>
    <s v="Cust 4689"/>
    <n v="25.16"/>
    <x v="216"/>
    <d v="2025-06-10T00:00:00"/>
    <s v="Sophie"/>
  </r>
  <r>
    <d v="2024-09-26T00:00:00"/>
    <x v="0"/>
    <x v="2"/>
    <n v="11"/>
    <n v="472.74"/>
    <s v="Store D"/>
    <x v="1"/>
    <n v="0.15"/>
    <x v="3"/>
    <n v="4420.1190000000006"/>
    <x v="2"/>
    <m/>
    <n v="1"/>
    <s v="REG100251"/>
    <s v="Cust 7381"/>
    <n v="16.8"/>
    <x v="217"/>
    <d v="2024-10-01T00:00:00"/>
    <s v="Eric"/>
  </r>
  <r>
    <d v="2024-08-10T00:00:00"/>
    <x v="0"/>
    <x v="1"/>
    <n v="20"/>
    <n v="337.37"/>
    <s v="Store C"/>
    <x v="1"/>
    <n v="0.1"/>
    <x v="4"/>
    <n v="6072.66"/>
    <x v="1"/>
    <m/>
    <n v="0"/>
    <s v="REG100252"/>
    <s v="Cust 2724"/>
    <n v="43.17"/>
    <x v="218"/>
    <d v="2024-08-17T00:00:00"/>
    <s v="Eric"/>
  </r>
  <r>
    <d v="2025-03-02T00:00:00"/>
    <x v="1"/>
    <x v="1"/>
    <n v="12"/>
    <n v="34.24"/>
    <s v="Store C"/>
    <x v="1"/>
    <n v="0.1"/>
    <x v="2"/>
    <n v="369.79199999999997"/>
    <x v="4"/>
    <m/>
    <n v="0"/>
    <s v="REG100253"/>
    <s v="Cust 2823"/>
    <n v="17.64"/>
    <x v="219"/>
    <d v="2025-03-10T00:00:00"/>
    <s v="Sophie"/>
  </r>
  <r>
    <d v="2023-02-21T00:00:00"/>
    <x v="0"/>
    <x v="5"/>
    <n v="4"/>
    <n v="477.05"/>
    <s v="Store B"/>
    <x v="0"/>
    <n v="0"/>
    <x v="3"/>
    <n v="1908.2"/>
    <x v="2"/>
    <s v="WINTER15"/>
    <n v="0"/>
    <s v="REG100254"/>
    <s v="Cust 9402"/>
    <n v="45.54"/>
    <x v="220"/>
    <d v="2023-03-02T00:00:00"/>
    <s v="Eric"/>
  </r>
  <r>
    <d v="2024-11-20T00:00:00"/>
    <x v="0"/>
    <x v="0"/>
    <n v="6"/>
    <n v="562.92999999999995"/>
    <s v="Store C"/>
    <x v="1"/>
    <n v="0"/>
    <x v="1"/>
    <n v="3377.58"/>
    <x v="2"/>
    <s v="WINTER15"/>
    <n v="0"/>
    <s v="REG100255"/>
    <s v="Cust 6561"/>
    <n v="43.73"/>
    <x v="221"/>
    <d v="2024-11-27T00:00:00"/>
    <s v="Eric"/>
  </r>
  <r>
    <d v="2023-08-26T00:00:00"/>
    <x v="0"/>
    <x v="3"/>
    <n v="20"/>
    <n v="18.29"/>
    <s v="Store B"/>
    <x v="1"/>
    <n v="0"/>
    <x v="4"/>
    <n v="365.8"/>
    <x v="3"/>
    <s v="FREESHIP"/>
    <n v="1"/>
    <s v="REG100256"/>
    <s v="Cust 3116"/>
    <n v="35.369999999999997"/>
    <x v="222"/>
    <d v="2023-08-29T00:00:00"/>
    <s v="Eric"/>
  </r>
  <r>
    <d v="2024-01-01T00:00:00"/>
    <x v="1"/>
    <x v="4"/>
    <n v="7"/>
    <n v="208.86"/>
    <s v="Store B"/>
    <x v="1"/>
    <n v="0"/>
    <x v="2"/>
    <n v="1462.02"/>
    <x v="4"/>
    <s v="FREESHIP"/>
    <n v="0"/>
    <s v="REG100257"/>
    <s v="Cust 1015"/>
    <n v="20.64"/>
    <x v="223"/>
    <d v="2024-01-08T00:00:00"/>
    <s v="Sophie"/>
  </r>
  <r>
    <d v="2024-11-24T00:00:00"/>
    <x v="1"/>
    <x v="6"/>
    <n v="12"/>
    <n v="330.36"/>
    <s v="Store D"/>
    <x v="1"/>
    <n v="0.05"/>
    <x v="4"/>
    <n v="3766.1039999999998"/>
    <x v="4"/>
    <s v="WINTER15"/>
    <n v="0"/>
    <s v="REG100258"/>
    <s v="Cust 1207"/>
    <n v="48.33"/>
    <x v="224"/>
    <d v="2024-11-30T00:00:00"/>
    <s v="Sophie"/>
  </r>
  <r>
    <d v="2024-08-25T00:00:00"/>
    <x v="1"/>
    <x v="5"/>
    <n v="7"/>
    <n v="50.26"/>
    <s v="Store C"/>
    <x v="1"/>
    <n v="0.15"/>
    <x v="4"/>
    <n v="299.04700000000003"/>
    <x v="4"/>
    <m/>
    <n v="0"/>
    <s v="REG100259"/>
    <s v="Cust 2501"/>
    <n v="17.12"/>
    <x v="225"/>
    <d v="2024-09-01T00:00:00"/>
    <s v="Sophie"/>
  </r>
  <r>
    <d v="2023-06-10T00:00:00"/>
    <x v="1"/>
    <x v="0"/>
    <n v="2"/>
    <n v="374.59"/>
    <s v="Store C"/>
    <x v="0"/>
    <n v="0.15"/>
    <x v="3"/>
    <n v="636.803"/>
    <x v="0"/>
    <s v="SAVE10"/>
    <n v="0"/>
    <s v="REG100260"/>
    <s v="Cust 2330"/>
    <n v="34.64"/>
    <x v="226"/>
    <d v="2023-06-18T00:00:00"/>
    <s v="Sophie"/>
  </r>
  <r>
    <d v="2024-12-18T00:00:00"/>
    <x v="2"/>
    <x v="6"/>
    <n v="7"/>
    <n v="467.6"/>
    <s v="Store A"/>
    <x v="1"/>
    <n v="0.1"/>
    <x v="3"/>
    <n v="2945.88"/>
    <x v="3"/>
    <m/>
    <n v="0"/>
    <s v="REG100261"/>
    <s v="Cust 7436"/>
    <n v="15.64"/>
    <x v="227"/>
    <d v="2024-12-26T00:00:00"/>
    <s v="Ryan"/>
  </r>
  <r>
    <d v="2023-08-28T00:00:00"/>
    <x v="0"/>
    <x v="3"/>
    <n v="3"/>
    <n v="376.24"/>
    <s v="Store A"/>
    <x v="1"/>
    <n v="0.05"/>
    <x v="2"/>
    <n v="1072.2840000000001"/>
    <x v="3"/>
    <s v="FREESHIP"/>
    <n v="1"/>
    <s v="REG100262"/>
    <s v="Cust 2762"/>
    <n v="6.15"/>
    <x v="228"/>
    <d v="2023-09-01T00:00:00"/>
    <s v="Eric"/>
  </r>
  <r>
    <d v="2023-01-22T00:00:00"/>
    <x v="4"/>
    <x v="1"/>
    <n v="13"/>
    <n v="140.49"/>
    <s v="Store A"/>
    <x v="1"/>
    <n v="0"/>
    <x v="0"/>
    <n v="1826.37"/>
    <x v="3"/>
    <s v="SAVE10"/>
    <n v="0"/>
    <s v="REG100263"/>
    <s v="Cust 3599"/>
    <n v="17.690000000000001"/>
    <x v="229"/>
    <d v="2023-01-31T00:00:00"/>
    <s v="Wendy"/>
  </r>
  <r>
    <d v="2023-02-07T00:00:00"/>
    <x v="2"/>
    <x v="4"/>
    <n v="3"/>
    <n v="506.33"/>
    <s v="Store B"/>
    <x v="1"/>
    <n v="0.15"/>
    <x v="2"/>
    <n v="1291.1415"/>
    <x v="3"/>
    <s v="FREESHIP"/>
    <n v="0"/>
    <s v="REG100264"/>
    <s v="Cust 4127"/>
    <n v="25.71"/>
    <x v="230"/>
    <d v="2023-02-14T00:00:00"/>
    <s v="Ryan"/>
  </r>
  <r>
    <d v="2023-11-22T00:00:00"/>
    <x v="1"/>
    <x v="4"/>
    <n v="8"/>
    <n v="138.72999999999999"/>
    <s v="Store A"/>
    <x v="0"/>
    <n v="0.05"/>
    <x v="2"/>
    <n v="1054.348"/>
    <x v="0"/>
    <s v="WINTER15"/>
    <n v="1"/>
    <s v="REG100265"/>
    <s v="Cust 6855"/>
    <n v="48.51"/>
    <x v="231"/>
    <d v="2023-11-29T00:00:00"/>
    <s v="Sophie"/>
  </r>
  <r>
    <d v="2023-01-25T00:00:00"/>
    <x v="4"/>
    <x v="2"/>
    <n v="6"/>
    <n v="134.53"/>
    <s v="Store C"/>
    <x v="1"/>
    <n v="0.15"/>
    <x v="3"/>
    <n v="686.10300000000007"/>
    <x v="3"/>
    <s v="FREESHIP"/>
    <n v="1"/>
    <s v="REG100266"/>
    <s v="Cust 7017"/>
    <n v="33.5"/>
    <x v="232"/>
    <d v="2023-01-29T00:00:00"/>
    <s v="Wendy"/>
  </r>
  <r>
    <d v="2025-03-05T00:00:00"/>
    <x v="1"/>
    <x v="5"/>
    <n v="18"/>
    <n v="375.96"/>
    <s v="Store D"/>
    <x v="0"/>
    <n v="0.05"/>
    <x v="4"/>
    <n v="6428.9159999999993"/>
    <x v="3"/>
    <s v="SAVE10"/>
    <n v="0"/>
    <s v="REG100267"/>
    <s v="Cust 6957"/>
    <n v="26.78"/>
    <x v="9"/>
    <d v="2025-03-09T00:00:00"/>
    <s v="Sophie"/>
  </r>
  <r>
    <d v="2023-02-02T00:00:00"/>
    <x v="2"/>
    <x v="6"/>
    <n v="10"/>
    <n v="538.47"/>
    <s v="Store D"/>
    <x v="1"/>
    <n v="0.1"/>
    <x v="5"/>
    <n v="4846.2299999999996"/>
    <x v="1"/>
    <s v="WINTER15"/>
    <n v="1"/>
    <s v="REG100268"/>
    <s v="Cust 9822"/>
    <n v="17.25"/>
    <x v="233"/>
    <d v="2023-02-12T00:00:00"/>
    <s v="Ryan"/>
  </r>
  <r>
    <d v="2023-05-24T00:00:00"/>
    <x v="2"/>
    <x v="5"/>
    <n v="15"/>
    <n v="505.44"/>
    <s v="Store A"/>
    <x v="0"/>
    <n v="0.1"/>
    <x v="1"/>
    <n v="6823.4400000000014"/>
    <x v="0"/>
    <s v="SAVE10"/>
    <n v="0"/>
    <s v="REG100269"/>
    <s v="Cust 7425"/>
    <n v="37.5"/>
    <x v="56"/>
    <d v="2023-06-01T00:00:00"/>
    <s v="Ryan"/>
  </r>
  <r>
    <d v="2024-05-30T00:00:00"/>
    <x v="1"/>
    <x v="6"/>
    <n v="4"/>
    <n v="312.08999999999997"/>
    <s v="Store C"/>
    <x v="0"/>
    <n v="0.15"/>
    <x v="4"/>
    <n v="1061.106"/>
    <x v="3"/>
    <s v="SAVE10"/>
    <n v="1"/>
    <s v="REG100270"/>
    <s v="Cust 6468"/>
    <n v="17.989999999999998"/>
    <x v="234"/>
    <d v="2024-06-06T00:00:00"/>
    <s v="Sophie"/>
  </r>
  <r>
    <d v="2024-01-23T00:00:00"/>
    <x v="4"/>
    <x v="2"/>
    <n v="15"/>
    <n v="579.58000000000004"/>
    <s v="Store C"/>
    <x v="1"/>
    <n v="0.15"/>
    <x v="0"/>
    <n v="7389.6450000000004"/>
    <x v="2"/>
    <m/>
    <n v="0"/>
    <s v="REG100271"/>
    <s v="Cust 8897"/>
    <n v="31.22"/>
    <x v="145"/>
    <d v="2024-01-31T00:00:00"/>
    <s v="Wendy"/>
  </r>
  <r>
    <d v="2023-02-06T00:00:00"/>
    <x v="2"/>
    <x v="3"/>
    <n v="10"/>
    <n v="217.43"/>
    <s v="Store A"/>
    <x v="1"/>
    <n v="0.15"/>
    <x v="5"/>
    <n v="1848.155"/>
    <x v="2"/>
    <s v="FREESHIP"/>
    <n v="0"/>
    <s v="REG100272"/>
    <s v="Cust 9816"/>
    <n v="33.14"/>
    <x v="235"/>
    <d v="2023-02-15T00:00:00"/>
    <s v="Ryan"/>
  </r>
  <r>
    <d v="2024-07-15T00:00:00"/>
    <x v="4"/>
    <x v="1"/>
    <n v="15"/>
    <n v="476.15"/>
    <s v="Store B"/>
    <x v="0"/>
    <n v="0.05"/>
    <x v="3"/>
    <n v="6785.1374999999998"/>
    <x v="0"/>
    <s v="SAVE10"/>
    <n v="0"/>
    <s v="REG100273"/>
    <s v="Cust 8227"/>
    <n v="24.48"/>
    <x v="236"/>
    <d v="2024-07-19T00:00:00"/>
    <s v="Wendy"/>
  </r>
  <r>
    <d v="2025-03-06T00:00:00"/>
    <x v="0"/>
    <x v="3"/>
    <n v="5"/>
    <n v="89.03"/>
    <s v="Store C"/>
    <x v="0"/>
    <n v="0.1"/>
    <x v="2"/>
    <n v="400.63499999999999"/>
    <x v="3"/>
    <s v="WINTER15"/>
    <n v="0"/>
    <s v="REG100274"/>
    <s v="Cust 4990"/>
    <n v="22.42"/>
    <x v="55"/>
    <d v="2025-03-16T00:00:00"/>
    <s v="Eric"/>
  </r>
  <r>
    <d v="2023-07-29T00:00:00"/>
    <x v="3"/>
    <x v="1"/>
    <n v="17"/>
    <n v="6.88"/>
    <s v="Store A"/>
    <x v="1"/>
    <n v="0.1"/>
    <x v="2"/>
    <n v="105.264"/>
    <x v="1"/>
    <m/>
    <n v="0"/>
    <s v="REG100275"/>
    <s v="Cust 5834"/>
    <n v="42.37"/>
    <x v="237"/>
    <d v="2023-08-08T00:00:00"/>
    <s v="Cameron"/>
  </r>
  <r>
    <d v="2023-07-26T00:00:00"/>
    <x v="2"/>
    <x v="6"/>
    <n v="6"/>
    <n v="355.26"/>
    <s v="Store D"/>
    <x v="1"/>
    <n v="0.1"/>
    <x v="5"/>
    <n v="1918.404"/>
    <x v="0"/>
    <s v="WINTER15"/>
    <n v="0"/>
    <s v="REG100276"/>
    <s v="Cust 7330"/>
    <n v="30.49"/>
    <x v="238"/>
    <d v="2023-07-29T00:00:00"/>
    <s v="Ryan"/>
  </r>
  <r>
    <d v="2024-04-10T00:00:00"/>
    <x v="4"/>
    <x v="5"/>
    <n v="8"/>
    <n v="294.76"/>
    <s v="Store C"/>
    <x v="1"/>
    <n v="0.1"/>
    <x v="4"/>
    <n v="2122.2719999999999"/>
    <x v="0"/>
    <s v="SAVE10"/>
    <n v="0"/>
    <s v="REG100277"/>
    <s v="Cust 5273"/>
    <n v="36.04"/>
    <x v="10"/>
    <d v="2024-04-13T00:00:00"/>
    <s v="Wendy"/>
  </r>
  <r>
    <d v="2025-01-24T00:00:00"/>
    <x v="2"/>
    <x v="2"/>
    <n v="16"/>
    <n v="60.69"/>
    <s v="Store A"/>
    <x v="0"/>
    <n v="0"/>
    <x v="3"/>
    <n v="971.04"/>
    <x v="2"/>
    <s v="WINTER15"/>
    <n v="0"/>
    <s v="REG100278"/>
    <s v="Cust 6138"/>
    <n v="7.03"/>
    <x v="239"/>
    <d v="2025-01-27T00:00:00"/>
    <s v="Ryan"/>
  </r>
  <r>
    <d v="2025-04-27T00:00:00"/>
    <x v="4"/>
    <x v="0"/>
    <n v="2"/>
    <n v="559.63"/>
    <s v="Store B"/>
    <x v="0"/>
    <n v="0.1"/>
    <x v="4"/>
    <n v="1007.3339999999999"/>
    <x v="2"/>
    <s v="WINTER15"/>
    <n v="1"/>
    <s v="REG100279"/>
    <s v="Cust 2084"/>
    <n v="42.34"/>
    <x v="240"/>
    <d v="2025-05-03T00:00:00"/>
    <s v="Wendy"/>
  </r>
  <r>
    <d v="2025-02-20T00:00:00"/>
    <x v="0"/>
    <x v="1"/>
    <n v="4"/>
    <n v="232.66"/>
    <s v="Store B"/>
    <x v="0"/>
    <n v="0.1"/>
    <x v="2"/>
    <n v="837.57600000000002"/>
    <x v="0"/>
    <s v="WINTER15"/>
    <n v="0"/>
    <s v="REG100280"/>
    <s v="Cust 2799"/>
    <n v="11.88"/>
    <x v="241"/>
    <d v="2025-02-23T00:00:00"/>
    <s v="Eric"/>
  </r>
  <r>
    <d v="2023-09-14T00:00:00"/>
    <x v="2"/>
    <x v="6"/>
    <n v="10"/>
    <n v="230.87"/>
    <s v="Store A"/>
    <x v="1"/>
    <n v="0.15"/>
    <x v="5"/>
    <n v="1962.395"/>
    <x v="3"/>
    <s v="SAVE10"/>
    <n v="0"/>
    <s v="REG100281"/>
    <s v="Cust 5234"/>
    <n v="28.33"/>
    <x v="242"/>
    <d v="2023-09-19T00:00:00"/>
    <s v="Ryan"/>
  </r>
  <r>
    <d v="2024-04-17T00:00:00"/>
    <x v="4"/>
    <x v="5"/>
    <n v="7"/>
    <n v="353.9"/>
    <s v="Store C"/>
    <x v="0"/>
    <n v="0.15"/>
    <x v="1"/>
    <n v="2105.7049999999999"/>
    <x v="3"/>
    <s v="SAVE10"/>
    <n v="1"/>
    <s v="REG100282"/>
    <s v="Cust 3051"/>
    <n v="15.74"/>
    <x v="243"/>
    <d v="2024-04-27T00:00:00"/>
    <s v="Wendy"/>
  </r>
  <r>
    <d v="2024-11-14T00:00:00"/>
    <x v="3"/>
    <x v="5"/>
    <n v="12"/>
    <n v="561.07000000000005"/>
    <s v="Store A"/>
    <x v="1"/>
    <n v="0"/>
    <x v="1"/>
    <n v="6732.84"/>
    <x v="1"/>
    <m/>
    <n v="0"/>
    <s v="REG100283"/>
    <s v="Cust 5456"/>
    <n v="35.020000000000003"/>
    <x v="244"/>
    <d v="2024-11-18T00:00:00"/>
    <s v="Cameron"/>
  </r>
  <r>
    <d v="2024-07-25T00:00:00"/>
    <x v="2"/>
    <x v="3"/>
    <n v="15"/>
    <n v="247.21"/>
    <s v="Store D"/>
    <x v="0"/>
    <n v="0.1"/>
    <x v="5"/>
    <n v="3337.335"/>
    <x v="1"/>
    <m/>
    <n v="0"/>
    <s v="REG100284"/>
    <s v="Cust 6029"/>
    <n v="45.42"/>
    <x v="245"/>
    <d v="2024-07-27T00:00:00"/>
    <s v="Ryan"/>
  </r>
  <r>
    <d v="2024-08-05T00:00:00"/>
    <x v="0"/>
    <x v="1"/>
    <n v="19"/>
    <n v="271.22000000000003"/>
    <s v="Store A"/>
    <x v="0"/>
    <n v="0.1"/>
    <x v="1"/>
    <n v="4637.8620000000001"/>
    <x v="2"/>
    <s v="WINTER15"/>
    <n v="0"/>
    <s v="REG100285"/>
    <s v="Cust 4002"/>
    <n v="35.33"/>
    <x v="186"/>
    <d v="2024-08-15T00:00:00"/>
    <s v="Eric"/>
  </r>
  <r>
    <d v="2025-01-23T00:00:00"/>
    <x v="4"/>
    <x v="0"/>
    <n v="6"/>
    <n v="532.54"/>
    <s v="Store A"/>
    <x v="0"/>
    <n v="0"/>
    <x v="4"/>
    <n v="3195.24"/>
    <x v="3"/>
    <m/>
    <n v="1"/>
    <s v="REG100286"/>
    <s v="Cust 5830"/>
    <n v="25.09"/>
    <x v="187"/>
    <d v="2025-02-02T00:00:00"/>
    <s v="Wendy"/>
  </r>
  <r>
    <d v="2025-04-27T00:00:00"/>
    <x v="4"/>
    <x v="6"/>
    <n v="16"/>
    <n v="329.54"/>
    <s v="Store A"/>
    <x v="0"/>
    <n v="0.15"/>
    <x v="5"/>
    <n v="4481.7440000000006"/>
    <x v="3"/>
    <s v="FREESHIP"/>
    <n v="1"/>
    <s v="REG100287"/>
    <s v="Cust 8088"/>
    <n v="39.39"/>
    <x v="240"/>
    <d v="2025-05-03T00:00:00"/>
    <s v="Wendy"/>
  </r>
  <r>
    <d v="2024-09-20T00:00:00"/>
    <x v="1"/>
    <x v="1"/>
    <n v="6"/>
    <n v="170.1"/>
    <s v="Store A"/>
    <x v="1"/>
    <n v="0"/>
    <x v="0"/>
    <n v="1020.6"/>
    <x v="1"/>
    <s v="FREESHIP"/>
    <n v="0"/>
    <s v="REG100288"/>
    <s v="Cust 6455"/>
    <n v="38.61"/>
    <x v="246"/>
    <d v="2024-09-23T00:00:00"/>
    <s v="Sophie"/>
  </r>
  <r>
    <d v="2023-09-08T00:00:00"/>
    <x v="4"/>
    <x v="0"/>
    <n v="19"/>
    <n v="212.83"/>
    <s v="Store D"/>
    <x v="0"/>
    <n v="0.15"/>
    <x v="3"/>
    <n v="3437.2044999999998"/>
    <x v="0"/>
    <s v="WINTER15"/>
    <n v="0"/>
    <s v="REG100289"/>
    <s v="Cust 4117"/>
    <n v="42.88"/>
    <x v="247"/>
    <d v="2023-09-15T00:00:00"/>
    <s v="Wendy"/>
  </r>
  <r>
    <d v="2025-04-20T00:00:00"/>
    <x v="1"/>
    <x v="0"/>
    <n v="5"/>
    <n v="578.91999999999996"/>
    <s v="Store A"/>
    <x v="0"/>
    <n v="0"/>
    <x v="5"/>
    <n v="2894.6"/>
    <x v="2"/>
    <m/>
    <n v="1"/>
    <s v="REG100290"/>
    <s v="Cust 1385"/>
    <n v="44.09"/>
    <x v="248"/>
    <d v="2025-04-28T00:00:00"/>
    <s v="Sophie"/>
  </r>
  <r>
    <d v="2024-06-20T00:00:00"/>
    <x v="2"/>
    <x v="1"/>
    <n v="3"/>
    <n v="456.92"/>
    <s v="Store C"/>
    <x v="1"/>
    <n v="0.1"/>
    <x v="2"/>
    <n v="1233.684"/>
    <x v="1"/>
    <s v="FREESHIP"/>
    <n v="0"/>
    <s v="REG100291"/>
    <s v="Cust 5185"/>
    <n v="17.57"/>
    <x v="249"/>
    <d v="2024-06-27T00:00:00"/>
    <s v="Ryan"/>
  </r>
  <r>
    <d v="2023-01-11T00:00:00"/>
    <x v="0"/>
    <x v="5"/>
    <n v="12"/>
    <n v="521.53"/>
    <s v="Store D"/>
    <x v="1"/>
    <n v="0"/>
    <x v="0"/>
    <n v="6258.36"/>
    <x v="2"/>
    <s v="SAVE10"/>
    <n v="1"/>
    <s v="REG100292"/>
    <s v="Cust 8704"/>
    <n v="49.59"/>
    <x v="6"/>
    <d v="2023-01-20T00:00:00"/>
    <s v="Eric"/>
  </r>
  <r>
    <d v="2023-07-04T00:00:00"/>
    <x v="2"/>
    <x v="2"/>
    <n v="17"/>
    <n v="468.19"/>
    <s v="Store D"/>
    <x v="1"/>
    <n v="0.05"/>
    <x v="4"/>
    <n v="7561.2684999999992"/>
    <x v="4"/>
    <m/>
    <n v="0"/>
    <s v="REG100293"/>
    <s v="Cust 3528"/>
    <n v="13.84"/>
    <x v="250"/>
    <d v="2023-07-07T00:00:00"/>
    <s v="Ryan"/>
  </r>
  <r>
    <d v="2025-03-08T00:00:00"/>
    <x v="3"/>
    <x v="4"/>
    <n v="9"/>
    <n v="8.81"/>
    <s v="Store D"/>
    <x v="1"/>
    <n v="0.15"/>
    <x v="1"/>
    <n v="67.396500000000003"/>
    <x v="0"/>
    <s v="SAVE10"/>
    <n v="0"/>
    <s v="REG100294"/>
    <s v="Cust 3907"/>
    <n v="42.7"/>
    <x v="251"/>
    <d v="2025-03-18T00:00:00"/>
    <s v="Cameron"/>
  </r>
  <r>
    <d v="2025-02-10T00:00:00"/>
    <x v="1"/>
    <x v="3"/>
    <n v="6"/>
    <n v="521.1"/>
    <s v="Store A"/>
    <x v="0"/>
    <n v="0.15"/>
    <x v="2"/>
    <n v="2657.61"/>
    <x v="4"/>
    <m/>
    <n v="0"/>
    <s v="REG100295"/>
    <s v="Cust 9005"/>
    <n v="31.14"/>
    <x v="252"/>
    <d v="2025-02-12T00:00:00"/>
    <s v="Sophie"/>
  </r>
  <r>
    <d v="2025-03-17T00:00:00"/>
    <x v="4"/>
    <x v="4"/>
    <n v="10"/>
    <n v="289.91000000000003"/>
    <s v="Store C"/>
    <x v="1"/>
    <n v="0.1"/>
    <x v="4"/>
    <n v="2609.190000000001"/>
    <x v="4"/>
    <s v="SAVE10"/>
    <n v="0"/>
    <s v="REG100296"/>
    <s v="Cust 3635"/>
    <n v="32.96"/>
    <x v="253"/>
    <d v="2025-03-21T00:00:00"/>
    <s v="Wendy"/>
  </r>
  <r>
    <d v="2023-11-09T00:00:00"/>
    <x v="0"/>
    <x v="6"/>
    <n v="3"/>
    <n v="142.27000000000001"/>
    <s v="Store D"/>
    <x v="1"/>
    <n v="0.05"/>
    <x v="5"/>
    <n v="405.46949999999998"/>
    <x v="0"/>
    <s v="SAVE10"/>
    <n v="0"/>
    <s v="REG100297"/>
    <s v="Cust 2122"/>
    <n v="32.799999999999997"/>
    <x v="254"/>
    <d v="2023-11-15T00:00:00"/>
    <s v="Eric"/>
  </r>
  <r>
    <d v="2023-11-30T00:00:00"/>
    <x v="3"/>
    <x v="6"/>
    <n v="15"/>
    <n v="354.09"/>
    <s v="Store B"/>
    <x v="1"/>
    <n v="0.05"/>
    <x v="3"/>
    <n v="5045.7824999999993"/>
    <x v="0"/>
    <m/>
    <n v="1"/>
    <s v="REG100298"/>
    <s v="Cust 4467"/>
    <n v="25.3"/>
    <x v="18"/>
    <d v="2023-12-08T00:00:00"/>
    <s v="Cameron"/>
  </r>
  <r>
    <d v="2024-08-15T00:00:00"/>
    <x v="1"/>
    <x v="5"/>
    <n v="20"/>
    <n v="358.57"/>
    <s v="Store B"/>
    <x v="0"/>
    <n v="0"/>
    <x v="1"/>
    <n v="7171.4"/>
    <x v="3"/>
    <s v="FREESHIP"/>
    <n v="1"/>
    <s v="REG100299"/>
    <s v="Cust 6146"/>
    <n v="21.11"/>
    <x v="255"/>
    <d v="2024-08-20T00:00:00"/>
    <s v="Sophie"/>
  </r>
  <r>
    <d v="2023-03-21T00:00:00"/>
    <x v="4"/>
    <x v="5"/>
    <n v="16"/>
    <n v="33.18"/>
    <s v="Store C"/>
    <x v="1"/>
    <n v="0.05"/>
    <x v="0"/>
    <n v="504.33600000000001"/>
    <x v="0"/>
    <s v="SAVE10"/>
    <n v="0"/>
    <s v="REG100300"/>
    <s v="Cust 4001"/>
    <n v="22.94"/>
    <x v="256"/>
    <d v="2023-03-26T00:00:00"/>
    <s v="Wendy"/>
  </r>
  <r>
    <d v="2023-10-26T00:00:00"/>
    <x v="4"/>
    <x v="4"/>
    <n v="2"/>
    <n v="124.4"/>
    <s v="Store B"/>
    <x v="1"/>
    <n v="0"/>
    <x v="0"/>
    <n v="248.8"/>
    <x v="0"/>
    <m/>
    <n v="0"/>
    <s v="REG100301"/>
    <s v="Cust 3365"/>
    <n v="37.049999999999997"/>
    <x v="71"/>
    <d v="2023-10-31T00:00:00"/>
    <s v="Wendy"/>
  </r>
  <r>
    <d v="2023-11-03T00:00:00"/>
    <x v="4"/>
    <x v="1"/>
    <n v="12"/>
    <n v="17.760000000000002"/>
    <s v="Store D"/>
    <x v="1"/>
    <n v="0.1"/>
    <x v="3"/>
    <n v="191.80799999999999"/>
    <x v="0"/>
    <s v="FREESHIP"/>
    <n v="0"/>
    <s v="REG100302"/>
    <s v="Cust 2194"/>
    <n v="12.18"/>
    <x v="257"/>
    <d v="2023-11-11T00:00:00"/>
    <s v="Wendy"/>
  </r>
  <r>
    <d v="2025-01-30T00:00:00"/>
    <x v="2"/>
    <x v="3"/>
    <n v="16"/>
    <n v="345.53"/>
    <s v="Store C"/>
    <x v="1"/>
    <n v="0.15"/>
    <x v="2"/>
    <n v="4699.2079999999996"/>
    <x v="1"/>
    <s v="SAVE10"/>
    <n v="0"/>
    <s v="REG100303"/>
    <s v="Cust 7942"/>
    <n v="13.43"/>
    <x v="258"/>
    <d v="2025-02-05T00:00:00"/>
    <s v="Ryan"/>
  </r>
  <r>
    <d v="2024-01-25T00:00:00"/>
    <x v="4"/>
    <x v="0"/>
    <n v="13"/>
    <n v="453.48"/>
    <s v="Store A"/>
    <x v="0"/>
    <n v="0.05"/>
    <x v="1"/>
    <n v="5600.4779999999992"/>
    <x v="1"/>
    <s v="SAVE10"/>
    <n v="0"/>
    <s v="REG100304"/>
    <s v="Cust 8451"/>
    <n v="46.28"/>
    <x v="109"/>
    <d v="2024-02-03T00:00:00"/>
    <s v="Wendy"/>
  </r>
  <r>
    <d v="2025-03-29T00:00:00"/>
    <x v="1"/>
    <x v="0"/>
    <n v="10"/>
    <n v="277.74"/>
    <s v="Store B"/>
    <x v="1"/>
    <n v="0.15"/>
    <x v="3"/>
    <n v="2360.79"/>
    <x v="1"/>
    <s v="SAVE10"/>
    <n v="1"/>
    <s v="REG100305"/>
    <s v="Cust 4238"/>
    <n v="35.020000000000003"/>
    <x v="259"/>
    <d v="2025-04-02T00:00:00"/>
    <s v="Sophie"/>
  </r>
  <r>
    <d v="2024-11-02T00:00:00"/>
    <x v="3"/>
    <x v="3"/>
    <n v="16"/>
    <n v="89.76"/>
    <s v="Store A"/>
    <x v="0"/>
    <n v="0"/>
    <x v="1"/>
    <n v="1436.16"/>
    <x v="3"/>
    <s v="WINTER15"/>
    <n v="1"/>
    <s v="REG100306"/>
    <s v="Cust 2529"/>
    <n v="44.69"/>
    <x v="260"/>
    <d v="2024-11-09T00:00:00"/>
    <s v="Cameron"/>
  </r>
  <r>
    <d v="2024-06-30T00:00:00"/>
    <x v="3"/>
    <x v="3"/>
    <n v="11"/>
    <n v="535.37"/>
    <s v="Store D"/>
    <x v="0"/>
    <n v="0"/>
    <x v="2"/>
    <n v="5889.07"/>
    <x v="4"/>
    <m/>
    <n v="0"/>
    <s v="REG100307"/>
    <s v="Cust 7057"/>
    <n v="35.96"/>
    <x v="261"/>
    <d v="2024-07-09T00:00:00"/>
    <s v="Cameron"/>
  </r>
  <r>
    <d v="2023-01-11T00:00:00"/>
    <x v="1"/>
    <x v="5"/>
    <n v="9"/>
    <n v="15.58"/>
    <s v="Store D"/>
    <x v="1"/>
    <n v="0.1"/>
    <x v="2"/>
    <n v="126.19799999999999"/>
    <x v="1"/>
    <s v="FREESHIP"/>
    <n v="1"/>
    <s v="REG100308"/>
    <s v="Cust 9069"/>
    <n v="27.81"/>
    <x v="6"/>
    <d v="2023-01-19T00:00:00"/>
    <s v="Sophie"/>
  </r>
  <r>
    <d v="2025-06-05T00:00:00"/>
    <x v="2"/>
    <x v="2"/>
    <n v="13"/>
    <n v="466.54"/>
    <s v="Store C"/>
    <x v="0"/>
    <n v="0"/>
    <x v="0"/>
    <n v="6065.02"/>
    <x v="4"/>
    <s v="FREESHIP"/>
    <n v="0"/>
    <s v="REG100309"/>
    <s v="Cust 5858"/>
    <n v="18.63"/>
    <x v="20"/>
    <d v="2025-06-14T00:00:00"/>
    <s v="Ryan"/>
  </r>
  <r>
    <d v="2024-03-21T00:00:00"/>
    <x v="2"/>
    <x v="4"/>
    <n v="16"/>
    <n v="593"/>
    <s v="Store D"/>
    <x v="1"/>
    <n v="0.1"/>
    <x v="0"/>
    <n v="8539.2000000000007"/>
    <x v="1"/>
    <s v="SAVE10"/>
    <n v="0"/>
    <s v="REG100310"/>
    <s v="Cust 2712"/>
    <n v="18.77"/>
    <x v="58"/>
    <d v="2024-03-24T00:00:00"/>
    <s v="Ryan"/>
  </r>
  <r>
    <d v="2023-08-31T00:00:00"/>
    <x v="1"/>
    <x v="2"/>
    <n v="6"/>
    <n v="567.36"/>
    <s v="Store C"/>
    <x v="0"/>
    <n v="0.05"/>
    <x v="1"/>
    <n v="3233.9520000000002"/>
    <x v="1"/>
    <s v="WINTER15"/>
    <n v="0"/>
    <s v="REG100311"/>
    <s v="Cust 7052"/>
    <n v="45.98"/>
    <x v="262"/>
    <d v="2023-09-08T00:00:00"/>
    <s v="Sophie"/>
  </r>
  <r>
    <d v="2024-10-07T00:00:00"/>
    <x v="1"/>
    <x v="1"/>
    <n v="17"/>
    <n v="523.04"/>
    <s v="Store A"/>
    <x v="1"/>
    <n v="0.05"/>
    <x v="0"/>
    <n v="8447.0959999999995"/>
    <x v="3"/>
    <s v="FREESHIP"/>
    <n v="0"/>
    <s v="REG100312"/>
    <s v="Cust 9397"/>
    <n v="37.380000000000003"/>
    <x v="263"/>
    <d v="2024-10-17T00:00:00"/>
    <s v="Sophie"/>
  </r>
  <r>
    <d v="2023-04-12T00:00:00"/>
    <x v="2"/>
    <x v="0"/>
    <n v="17"/>
    <n v="376.4"/>
    <s v="Store C"/>
    <x v="0"/>
    <n v="0"/>
    <x v="1"/>
    <n v="6398.7999999999993"/>
    <x v="3"/>
    <s v="FREESHIP"/>
    <n v="0"/>
    <s v="REG100313"/>
    <s v="Cust 4614"/>
    <n v="33.380000000000003"/>
    <x v="264"/>
    <d v="2023-04-15T00:00:00"/>
    <s v="Ryan"/>
  </r>
  <r>
    <d v="2023-11-06T00:00:00"/>
    <x v="1"/>
    <x v="6"/>
    <n v="5"/>
    <n v="95.19"/>
    <s v="Store A"/>
    <x v="1"/>
    <n v="0.15"/>
    <x v="2"/>
    <n v="404.5575"/>
    <x v="2"/>
    <s v="WINTER15"/>
    <n v="0"/>
    <s v="REG100314"/>
    <s v="Cust 1573"/>
    <n v="48.55"/>
    <x v="265"/>
    <d v="2023-11-16T00:00:00"/>
    <s v="Sophie"/>
  </r>
  <r>
    <d v="2023-04-28T00:00:00"/>
    <x v="4"/>
    <x v="2"/>
    <n v="2"/>
    <n v="210.71"/>
    <s v="Store D"/>
    <x v="0"/>
    <n v="0.15"/>
    <x v="4"/>
    <n v="358.20699999999999"/>
    <x v="2"/>
    <s v="SAVE10"/>
    <n v="0"/>
    <s v="REG100315"/>
    <s v="Cust 5660"/>
    <n v="7.78"/>
    <x v="266"/>
    <d v="2023-05-08T00:00:00"/>
    <s v="Wendy"/>
  </r>
  <r>
    <d v="2023-12-18T00:00:00"/>
    <x v="4"/>
    <x v="6"/>
    <n v="7"/>
    <n v="393.39"/>
    <s v="Store B"/>
    <x v="1"/>
    <n v="0.1"/>
    <x v="1"/>
    <n v="2478.357"/>
    <x v="4"/>
    <s v="SAVE10"/>
    <n v="0"/>
    <s v="REG100316"/>
    <s v="Cust 3952"/>
    <n v="34.35"/>
    <x v="267"/>
    <d v="2023-12-21T00:00:00"/>
    <s v="Wendy"/>
  </r>
  <r>
    <d v="2024-10-10T00:00:00"/>
    <x v="1"/>
    <x v="1"/>
    <n v="13"/>
    <n v="114.03"/>
    <s v="Store A"/>
    <x v="1"/>
    <n v="0"/>
    <x v="5"/>
    <n v="1482.39"/>
    <x v="4"/>
    <m/>
    <n v="0"/>
    <s v="REG100317"/>
    <s v="Cust 5407"/>
    <n v="43.81"/>
    <x v="268"/>
    <d v="2024-10-16T00:00:00"/>
    <s v="Sophie"/>
  </r>
  <r>
    <d v="2023-02-05T00:00:00"/>
    <x v="2"/>
    <x v="5"/>
    <n v="18"/>
    <n v="336.48"/>
    <s v="Store B"/>
    <x v="1"/>
    <n v="0"/>
    <x v="2"/>
    <n v="6056.64"/>
    <x v="0"/>
    <s v="WINTER15"/>
    <n v="0"/>
    <s v="REG100318"/>
    <s v="Cust 9595"/>
    <n v="18.59"/>
    <x v="269"/>
    <d v="2023-02-07T00:00:00"/>
    <s v="Ryan"/>
  </r>
  <r>
    <d v="2024-08-04T00:00:00"/>
    <x v="3"/>
    <x v="4"/>
    <n v="9"/>
    <n v="24.44"/>
    <s v="Store C"/>
    <x v="0"/>
    <n v="0.15"/>
    <x v="0"/>
    <n v="186.96600000000001"/>
    <x v="1"/>
    <s v="SAVE10"/>
    <n v="1"/>
    <s v="REG100319"/>
    <s v="Cust 3245"/>
    <n v="22.06"/>
    <x v="270"/>
    <d v="2024-08-14T00:00:00"/>
    <s v="Cameron"/>
  </r>
  <r>
    <d v="2024-10-23T00:00:00"/>
    <x v="3"/>
    <x v="5"/>
    <n v="12"/>
    <n v="352.2"/>
    <s v="Store A"/>
    <x v="1"/>
    <n v="0.05"/>
    <x v="0"/>
    <n v="4015.079999999999"/>
    <x v="2"/>
    <s v="WINTER15"/>
    <n v="0"/>
    <s v="REG100320"/>
    <s v="Cust 7180"/>
    <n v="18.39"/>
    <x v="75"/>
    <d v="2024-11-01T00:00:00"/>
    <s v="Cameron"/>
  </r>
  <r>
    <d v="2024-02-13T00:00:00"/>
    <x v="4"/>
    <x v="4"/>
    <n v="7"/>
    <n v="353.99"/>
    <s v="Store C"/>
    <x v="0"/>
    <n v="0.05"/>
    <x v="3"/>
    <n v="2354.0335"/>
    <x v="1"/>
    <s v="FREESHIP"/>
    <n v="0"/>
    <s v="REG100321"/>
    <s v="Cust 5973"/>
    <n v="5.93"/>
    <x v="30"/>
    <d v="2024-02-20T00:00:00"/>
    <s v="Wendy"/>
  </r>
  <r>
    <d v="2024-06-03T00:00:00"/>
    <x v="1"/>
    <x v="5"/>
    <n v="15"/>
    <n v="10.220000000000001"/>
    <s v="Store C"/>
    <x v="1"/>
    <n v="0"/>
    <x v="1"/>
    <n v="153.30000000000001"/>
    <x v="1"/>
    <s v="FREESHIP"/>
    <n v="0"/>
    <s v="REG100322"/>
    <s v="Cust 4310"/>
    <n v="36.270000000000003"/>
    <x v="189"/>
    <d v="2024-06-07T00:00:00"/>
    <s v="Sophie"/>
  </r>
  <r>
    <d v="2023-04-14T00:00:00"/>
    <x v="1"/>
    <x v="6"/>
    <n v="17"/>
    <n v="464.16"/>
    <s v="Store A"/>
    <x v="1"/>
    <n v="0.15"/>
    <x v="3"/>
    <n v="6707.1120000000001"/>
    <x v="3"/>
    <s v="FREESHIP"/>
    <n v="1"/>
    <s v="REG100323"/>
    <s v="Cust 6243"/>
    <n v="46.83"/>
    <x v="271"/>
    <d v="2023-04-18T00:00:00"/>
    <s v="Sophie"/>
  </r>
  <r>
    <d v="2024-10-19T00:00:00"/>
    <x v="3"/>
    <x v="0"/>
    <n v="16"/>
    <n v="436.31"/>
    <s v="Store C"/>
    <x v="1"/>
    <n v="0.05"/>
    <x v="4"/>
    <n v="6631.9119999999994"/>
    <x v="0"/>
    <m/>
    <n v="0"/>
    <s v="REG100324"/>
    <s v="Cust 2448"/>
    <n v="47.61"/>
    <x v="272"/>
    <d v="2024-10-23T00:00:00"/>
    <s v="Cameron"/>
  </r>
  <r>
    <d v="2023-12-18T00:00:00"/>
    <x v="1"/>
    <x v="0"/>
    <n v="9"/>
    <n v="219.93"/>
    <s v="Store B"/>
    <x v="0"/>
    <n v="0.05"/>
    <x v="5"/>
    <n v="1880.4014999999999"/>
    <x v="1"/>
    <s v="FREESHIP"/>
    <n v="0"/>
    <s v="REG100325"/>
    <s v="Cust 9386"/>
    <n v="44.78"/>
    <x v="267"/>
    <d v="2023-12-22T00:00:00"/>
    <s v="Sophie"/>
  </r>
  <r>
    <d v="2023-08-31T00:00:00"/>
    <x v="2"/>
    <x v="0"/>
    <n v="5"/>
    <n v="311.22000000000003"/>
    <s v="Store A"/>
    <x v="0"/>
    <n v="0.15"/>
    <x v="4"/>
    <n v="1322.6849999999999"/>
    <x v="4"/>
    <s v="FREESHIP"/>
    <n v="0"/>
    <s v="REG100326"/>
    <s v="Cust 2227"/>
    <n v="36.979999999999997"/>
    <x v="262"/>
    <d v="2023-09-06T00:00:00"/>
    <s v="Ryan"/>
  </r>
  <r>
    <d v="2023-09-19T00:00:00"/>
    <x v="1"/>
    <x v="0"/>
    <n v="4"/>
    <n v="547.55999999999995"/>
    <s v="Store D"/>
    <x v="1"/>
    <n v="0.15"/>
    <x v="2"/>
    <n v="1861.704"/>
    <x v="1"/>
    <m/>
    <n v="0"/>
    <s v="REG100327"/>
    <s v="Cust 3803"/>
    <n v="25.88"/>
    <x v="273"/>
    <d v="2023-09-26T00:00:00"/>
    <s v="Sophie"/>
  </r>
  <r>
    <d v="2023-02-27T00:00:00"/>
    <x v="3"/>
    <x v="0"/>
    <n v="9"/>
    <n v="52.69"/>
    <s v="Store D"/>
    <x v="1"/>
    <n v="0.15"/>
    <x v="4"/>
    <n v="403.07850000000002"/>
    <x v="0"/>
    <s v="SAVE10"/>
    <n v="0"/>
    <s v="REG100328"/>
    <s v="Cust 1236"/>
    <n v="14.59"/>
    <x v="274"/>
    <d v="2023-03-04T00:00:00"/>
    <s v="Cameron"/>
  </r>
  <r>
    <d v="2024-01-28T00:00:00"/>
    <x v="1"/>
    <x v="5"/>
    <n v="9"/>
    <n v="434.74"/>
    <s v="Store D"/>
    <x v="0"/>
    <n v="0.1"/>
    <x v="5"/>
    <n v="3521.3939999999998"/>
    <x v="0"/>
    <s v="SAVE10"/>
    <n v="0"/>
    <s v="REG100329"/>
    <s v="Cust 2669"/>
    <n v="20.11"/>
    <x v="275"/>
    <d v="2024-01-31T00:00:00"/>
    <s v="Sophie"/>
  </r>
  <r>
    <d v="2025-05-06T00:00:00"/>
    <x v="1"/>
    <x v="4"/>
    <n v="9"/>
    <n v="124.17"/>
    <s v="Store C"/>
    <x v="0"/>
    <n v="0"/>
    <x v="0"/>
    <n v="1117.53"/>
    <x v="3"/>
    <s v="WINTER15"/>
    <n v="0"/>
    <s v="REG100330"/>
    <s v="Cust 3746"/>
    <n v="13.31"/>
    <x v="276"/>
    <d v="2025-05-10T00:00:00"/>
    <s v="Sophie"/>
  </r>
  <r>
    <d v="2024-09-13T00:00:00"/>
    <x v="0"/>
    <x v="4"/>
    <n v="2"/>
    <n v="375.48"/>
    <s v="Store D"/>
    <x v="1"/>
    <n v="0.05"/>
    <x v="4"/>
    <n v="713.41200000000003"/>
    <x v="2"/>
    <s v="FREESHIP"/>
    <n v="0"/>
    <s v="REG100331"/>
    <s v="Cust 9694"/>
    <n v="26.39"/>
    <x v="277"/>
    <d v="2024-09-15T00:00:00"/>
    <s v="Eric"/>
  </r>
  <r>
    <d v="2023-05-25T00:00:00"/>
    <x v="0"/>
    <x v="6"/>
    <n v="13"/>
    <n v="211.06"/>
    <s v="Store B"/>
    <x v="1"/>
    <n v="0.1"/>
    <x v="5"/>
    <n v="2469.402"/>
    <x v="1"/>
    <m/>
    <n v="1"/>
    <s v="REG100332"/>
    <s v="Cust 4993"/>
    <n v="19.579999999999998"/>
    <x v="147"/>
    <d v="2023-05-29T00:00:00"/>
    <s v="Eric"/>
  </r>
  <r>
    <d v="2024-09-26T00:00:00"/>
    <x v="1"/>
    <x v="5"/>
    <n v="7"/>
    <n v="88.87"/>
    <s v="Store C"/>
    <x v="1"/>
    <n v="0"/>
    <x v="1"/>
    <n v="622.09"/>
    <x v="0"/>
    <s v="SAVE10"/>
    <n v="0"/>
    <s v="REG100333"/>
    <s v="Cust 1271"/>
    <n v="8.36"/>
    <x v="217"/>
    <d v="2024-10-01T00:00:00"/>
    <s v="Sophie"/>
  </r>
  <r>
    <d v="2023-02-13T00:00:00"/>
    <x v="1"/>
    <x v="1"/>
    <n v="5"/>
    <n v="254.24"/>
    <s v="Store B"/>
    <x v="0"/>
    <n v="0.05"/>
    <x v="5"/>
    <n v="1207.6400000000001"/>
    <x v="0"/>
    <m/>
    <n v="0"/>
    <s v="REG100334"/>
    <s v="Cust 3042"/>
    <n v="9.9700000000000006"/>
    <x v="278"/>
    <d v="2023-02-18T00:00:00"/>
    <s v="Sophie"/>
  </r>
  <r>
    <d v="2024-06-20T00:00:00"/>
    <x v="3"/>
    <x v="3"/>
    <n v="5"/>
    <n v="432.35"/>
    <s v="Store C"/>
    <x v="0"/>
    <n v="0.1"/>
    <x v="5"/>
    <n v="1945.575"/>
    <x v="1"/>
    <m/>
    <n v="1"/>
    <s v="REG100335"/>
    <s v="Cust 6424"/>
    <n v="41.48"/>
    <x v="249"/>
    <d v="2024-06-27T00:00:00"/>
    <s v="Cameron"/>
  </r>
  <r>
    <d v="2024-03-22T00:00:00"/>
    <x v="4"/>
    <x v="0"/>
    <n v="19"/>
    <n v="590"/>
    <s v="Store D"/>
    <x v="1"/>
    <n v="0.05"/>
    <x v="1"/>
    <n v="10649.5"/>
    <x v="0"/>
    <s v="FREESHIP"/>
    <n v="0"/>
    <s v="REG100336"/>
    <s v="Cust 1422"/>
    <n v="5.91"/>
    <x v="124"/>
    <d v="2024-03-25T00:00:00"/>
    <s v="Wendy"/>
  </r>
  <r>
    <d v="2024-02-08T00:00:00"/>
    <x v="4"/>
    <x v="4"/>
    <n v="11"/>
    <n v="151.25"/>
    <s v="Store B"/>
    <x v="0"/>
    <n v="0.1"/>
    <x v="2"/>
    <n v="1497.375"/>
    <x v="2"/>
    <m/>
    <n v="1"/>
    <s v="REG100337"/>
    <s v="Cust 5857"/>
    <n v="22.65"/>
    <x v="279"/>
    <d v="2024-02-11T00:00:00"/>
    <s v="Wendy"/>
  </r>
  <r>
    <d v="2024-06-01T00:00:00"/>
    <x v="0"/>
    <x v="2"/>
    <n v="3"/>
    <n v="204.79"/>
    <s v="Store B"/>
    <x v="1"/>
    <n v="0.1"/>
    <x v="2"/>
    <n v="552.93299999999999"/>
    <x v="0"/>
    <s v="FREESHIP"/>
    <n v="1"/>
    <s v="REG100338"/>
    <s v="Cust 6953"/>
    <n v="7.72"/>
    <x v="280"/>
    <d v="2024-06-04T00:00:00"/>
    <s v="Eric"/>
  </r>
  <r>
    <d v="2024-05-26T00:00:00"/>
    <x v="2"/>
    <x v="0"/>
    <n v="16"/>
    <n v="586.52"/>
    <s v="Store C"/>
    <x v="0"/>
    <n v="0"/>
    <x v="4"/>
    <n v="9384.32"/>
    <x v="2"/>
    <s v="WINTER15"/>
    <n v="1"/>
    <s v="REG100339"/>
    <s v="Cust 2916"/>
    <n v="17.059999999999999"/>
    <x v="96"/>
    <d v="2024-06-01T00:00:00"/>
    <s v="Ryan"/>
  </r>
  <r>
    <d v="2024-06-25T00:00:00"/>
    <x v="0"/>
    <x v="6"/>
    <n v="16"/>
    <n v="104.83"/>
    <s v="Store A"/>
    <x v="0"/>
    <n v="0"/>
    <x v="3"/>
    <n v="1677.28"/>
    <x v="1"/>
    <s v="FREESHIP"/>
    <n v="0"/>
    <s v="REG100340"/>
    <s v="Cust 6855"/>
    <n v="33.99"/>
    <x v="281"/>
    <d v="2024-06-30T00:00:00"/>
    <s v="Eric"/>
  </r>
  <r>
    <d v="2024-01-29T00:00:00"/>
    <x v="3"/>
    <x v="6"/>
    <n v="16"/>
    <n v="598.48"/>
    <s v="Store A"/>
    <x v="1"/>
    <n v="0.1"/>
    <x v="2"/>
    <n v="8618.112000000001"/>
    <x v="4"/>
    <m/>
    <n v="0"/>
    <s v="REG100341"/>
    <s v="Cust 8464"/>
    <n v="47.86"/>
    <x v="282"/>
    <d v="2024-02-07T00:00:00"/>
    <s v="Cameron"/>
  </r>
  <r>
    <d v="2024-12-07T00:00:00"/>
    <x v="1"/>
    <x v="3"/>
    <n v="8"/>
    <n v="367.89"/>
    <s v="Store B"/>
    <x v="1"/>
    <n v="0.05"/>
    <x v="1"/>
    <n v="2795.9639999999999"/>
    <x v="4"/>
    <s v="FREESHIP"/>
    <n v="0"/>
    <s v="REG100342"/>
    <s v="Cust 9700"/>
    <n v="18.100000000000001"/>
    <x v="29"/>
    <d v="2024-12-09T00:00:00"/>
    <s v="Sophie"/>
  </r>
  <r>
    <d v="2023-11-21T00:00:00"/>
    <x v="4"/>
    <x v="3"/>
    <n v="10"/>
    <n v="333.35"/>
    <s v="Store A"/>
    <x v="1"/>
    <n v="0.15"/>
    <x v="1"/>
    <n v="2833.4749999999999"/>
    <x v="3"/>
    <s v="FREESHIP"/>
    <n v="0"/>
    <s v="REG100343"/>
    <s v="Cust 7765"/>
    <n v="39.35"/>
    <x v="283"/>
    <d v="2023-11-26T00:00:00"/>
    <s v="Wendy"/>
  </r>
  <r>
    <d v="2024-12-16T00:00:00"/>
    <x v="2"/>
    <x v="3"/>
    <n v="8"/>
    <n v="378.88"/>
    <s v="Store A"/>
    <x v="0"/>
    <n v="0.1"/>
    <x v="2"/>
    <n v="2727.9360000000001"/>
    <x v="3"/>
    <s v="WINTER15"/>
    <n v="1"/>
    <s v="REG100344"/>
    <s v="Cust 8246"/>
    <n v="5.22"/>
    <x v="284"/>
    <d v="2024-12-24T00:00:00"/>
    <s v="Ryan"/>
  </r>
  <r>
    <d v="2023-08-05T00:00:00"/>
    <x v="3"/>
    <x v="4"/>
    <n v="12"/>
    <n v="169.2"/>
    <s v="Store C"/>
    <x v="1"/>
    <n v="0.05"/>
    <x v="4"/>
    <n v="1928.88"/>
    <x v="1"/>
    <s v="SAVE10"/>
    <n v="0"/>
    <s v="REG100345"/>
    <s v="Cust 6500"/>
    <n v="28.65"/>
    <x v="285"/>
    <d v="2023-08-15T00:00:00"/>
    <s v="Cameron"/>
  </r>
  <r>
    <d v="2023-08-30T00:00:00"/>
    <x v="3"/>
    <x v="3"/>
    <n v="7"/>
    <n v="103.03"/>
    <s v="Store D"/>
    <x v="1"/>
    <n v="0.1"/>
    <x v="5"/>
    <n v="649.08900000000006"/>
    <x v="0"/>
    <s v="FREESHIP"/>
    <n v="1"/>
    <s v="REG100346"/>
    <s v="Cust 1150"/>
    <n v="5.29"/>
    <x v="286"/>
    <d v="2023-09-06T00:00:00"/>
    <s v="Cameron"/>
  </r>
  <r>
    <d v="2025-03-25T00:00:00"/>
    <x v="0"/>
    <x v="6"/>
    <n v="3"/>
    <n v="378.74"/>
    <s v="Store D"/>
    <x v="0"/>
    <n v="0.15"/>
    <x v="2"/>
    <n v="965.78700000000003"/>
    <x v="0"/>
    <s v="SAVE10"/>
    <n v="0"/>
    <s v="REG100347"/>
    <s v="Cust 7449"/>
    <n v="8.2200000000000006"/>
    <x v="287"/>
    <d v="2025-03-27T00:00:00"/>
    <s v="Eric"/>
  </r>
  <r>
    <d v="2024-12-13T00:00:00"/>
    <x v="2"/>
    <x v="1"/>
    <n v="15"/>
    <n v="27.21"/>
    <s v="Store C"/>
    <x v="0"/>
    <n v="0"/>
    <x v="1"/>
    <n v="408.15"/>
    <x v="0"/>
    <s v="WINTER15"/>
    <n v="0"/>
    <s v="REG100348"/>
    <s v="Cust 1957"/>
    <n v="43.69"/>
    <x v="167"/>
    <d v="2024-12-22T00:00:00"/>
    <s v="Ryan"/>
  </r>
  <r>
    <d v="2023-09-07T00:00:00"/>
    <x v="3"/>
    <x v="1"/>
    <n v="14"/>
    <n v="52.09"/>
    <s v="Store A"/>
    <x v="1"/>
    <n v="0"/>
    <x v="5"/>
    <n v="729.26"/>
    <x v="1"/>
    <m/>
    <n v="1"/>
    <s v="REG100349"/>
    <s v="Cust 3467"/>
    <n v="48.02"/>
    <x v="288"/>
    <d v="2023-09-14T00:00:00"/>
    <s v="Cameron"/>
  </r>
  <r>
    <d v="2023-12-12T00:00:00"/>
    <x v="2"/>
    <x v="4"/>
    <n v="7"/>
    <n v="570.01"/>
    <s v="Store C"/>
    <x v="0"/>
    <n v="0"/>
    <x v="3"/>
    <n v="3990.07"/>
    <x v="2"/>
    <s v="WINTER15"/>
    <n v="0"/>
    <s v="REG100350"/>
    <s v="Cust 5212"/>
    <n v="42.33"/>
    <x v="289"/>
    <d v="2023-12-21T00:00:00"/>
    <s v="Ryan"/>
  </r>
  <r>
    <d v="2024-04-25T00:00:00"/>
    <x v="0"/>
    <x v="4"/>
    <n v="19"/>
    <n v="526.23"/>
    <s v="Store B"/>
    <x v="1"/>
    <n v="0"/>
    <x v="5"/>
    <n v="9998.3700000000008"/>
    <x v="2"/>
    <s v="WINTER15"/>
    <n v="0"/>
    <s v="REG100351"/>
    <s v="Cust 3509"/>
    <n v="32.770000000000003"/>
    <x v="290"/>
    <d v="2024-05-05T00:00:00"/>
    <s v="Eric"/>
  </r>
  <r>
    <d v="2025-05-04T00:00:00"/>
    <x v="2"/>
    <x v="0"/>
    <n v="8"/>
    <n v="294.51"/>
    <s v="Store A"/>
    <x v="0"/>
    <n v="0.15"/>
    <x v="4"/>
    <n v="2002.6679999999999"/>
    <x v="1"/>
    <m/>
    <n v="0"/>
    <s v="REG100352"/>
    <s v="Cust 5316"/>
    <n v="10.46"/>
    <x v="291"/>
    <d v="2025-05-07T00:00:00"/>
    <s v="Ryan"/>
  </r>
  <r>
    <d v="2023-09-16T00:00:00"/>
    <x v="1"/>
    <x v="4"/>
    <n v="18"/>
    <n v="448.27"/>
    <s v="Store C"/>
    <x v="0"/>
    <n v="0.05"/>
    <x v="4"/>
    <n v="7665.4169999999986"/>
    <x v="2"/>
    <s v="SAVE10"/>
    <n v="0"/>
    <s v="REG100353"/>
    <s v="Cust 9919"/>
    <n v="47.56"/>
    <x v="292"/>
    <d v="2023-09-20T00:00:00"/>
    <s v="Sophie"/>
  </r>
  <r>
    <d v="2024-10-23T00:00:00"/>
    <x v="4"/>
    <x v="2"/>
    <n v="17"/>
    <n v="583.88"/>
    <s v="Store D"/>
    <x v="1"/>
    <n v="0.1"/>
    <x v="1"/>
    <n v="8933.3639999999996"/>
    <x v="2"/>
    <s v="WINTER15"/>
    <n v="0"/>
    <s v="REG100354"/>
    <s v="Cust 7129"/>
    <n v="37.53"/>
    <x v="75"/>
    <d v="2024-10-26T00:00:00"/>
    <s v="Wendy"/>
  </r>
  <r>
    <d v="2023-05-03T00:00:00"/>
    <x v="2"/>
    <x v="2"/>
    <n v="2"/>
    <n v="97.5"/>
    <s v="Store D"/>
    <x v="1"/>
    <n v="0.1"/>
    <x v="1"/>
    <n v="175.5"/>
    <x v="4"/>
    <m/>
    <n v="1"/>
    <s v="REG100355"/>
    <s v="Cust 9841"/>
    <n v="46.37"/>
    <x v="293"/>
    <d v="2023-05-06T00:00:00"/>
    <s v="Ryan"/>
  </r>
  <r>
    <d v="2025-03-18T00:00:00"/>
    <x v="2"/>
    <x v="6"/>
    <n v="16"/>
    <n v="420.79"/>
    <s v="Store B"/>
    <x v="0"/>
    <n v="0.15"/>
    <x v="3"/>
    <n v="5722.7439999999997"/>
    <x v="4"/>
    <s v="FREESHIP"/>
    <n v="1"/>
    <s v="REG100356"/>
    <s v="Cust 6362"/>
    <n v="22.13"/>
    <x v="213"/>
    <d v="2025-03-25T00:00:00"/>
    <s v="Ryan"/>
  </r>
  <r>
    <d v="2023-08-25T00:00:00"/>
    <x v="4"/>
    <x v="3"/>
    <n v="13"/>
    <n v="513.17999999999995"/>
    <s v="Store B"/>
    <x v="1"/>
    <n v="0"/>
    <x v="0"/>
    <n v="6671.3399999999992"/>
    <x v="2"/>
    <s v="FREESHIP"/>
    <n v="0"/>
    <s v="REG100357"/>
    <s v="Cust 4142"/>
    <n v="10.57"/>
    <x v="294"/>
    <d v="2023-08-27T00:00:00"/>
    <s v="Wendy"/>
  </r>
  <r>
    <d v="2023-07-13T00:00:00"/>
    <x v="2"/>
    <x v="4"/>
    <n v="19"/>
    <n v="475.64"/>
    <s v="Store C"/>
    <x v="1"/>
    <n v="0.1"/>
    <x v="2"/>
    <n v="8133.4440000000004"/>
    <x v="4"/>
    <s v="WINTER15"/>
    <n v="1"/>
    <s v="REG100358"/>
    <s v="Cust 9584"/>
    <n v="11.17"/>
    <x v="295"/>
    <d v="2023-07-17T00:00:00"/>
    <s v="Ryan"/>
  </r>
  <r>
    <d v="2025-02-25T00:00:00"/>
    <x v="2"/>
    <x v="5"/>
    <n v="13"/>
    <n v="238.34"/>
    <s v="Store C"/>
    <x v="1"/>
    <n v="0.1"/>
    <x v="3"/>
    <n v="2788.578"/>
    <x v="2"/>
    <s v="SAVE10"/>
    <n v="1"/>
    <s v="REG100359"/>
    <s v="Cust 2553"/>
    <n v="7.9"/>
    <x v="296"/>
    <d v="2025-03-06T00:00:00"/>
    <s v="Ryan"/>
  </r>
  <r>
    <d v="2025-04-14T00:00:00"/>
    <x v="3"/>
    <x v="0"/>
    <n v="14"/>
    <n v="285.02999999999997"/>
    <s v="Store B"/>
    <x v="0"/>
    <n v="0.1"/>
    <x v="0"/>
    <n v="3591.3780000000002"/>
    <x v="2"/>
    <s v="SAVE10"/>
    <n v="0"/>
    <s v="REG100360"/>
    <s v="Cust 1347"/>
    <n v="41.5"/>
    <x v="297"/>
    <d v="2025-04-17T00:00:00"/>
    <s v="Cameron"/>
  </r>
  <r>
    <d v="2025-06-15T00:00:00"/>
    <x v="3"/>
    <x v="2"/>
    <n v="5"/>
    <n v="5.52"/>
    <s v="Store C"/>
    <x v="1"/>
    <n v="0.05"/>
    <x v="1"/>
    <n v="26.22"/>
    <x v="2"/>
    <s v="FREESHIP"/>
    <n v="0"/>
    <s v="REG100361"/>
    <s v="Cust 8305"/>
    <n v="10.58"/>
    <x v="298"/>
    <d v="2025-06-18T00:00:00"/>
    <s v="Cameron"/>
  </r>
  <r>
    <d v="2024-10-22T00:00:00"/>
    <x v="2"/>
    <x v="4"/>
    <n v="18"/>
    <n v="396.25"/>
    <s v="Store D"/>
    <x v="1"/>
    <n v="0.1"/>
    <x v="2"/>
    <n v="6419.25"/>
    <x v="2"/>
    <s v="FREESHIP"/>
    <n v="0"/>
    <s v="REG100362"/>
    <s v="Cust 7015"/>
    <n v="20.39"/>
    <x v="299"/>
    <d v="2024-10-27T00:00:00"/>
    <s v="Ryan"/>
  </r>
  <r>
    <d v="2023-06-20T00:00:00"/>
    <x v="1"/>
    <x v="0"/>
    <n v="9"/>
    <n v="282.8"/>
    <s v="Store D"/>
    <x v="0"/>
    <n v="0.05"/>
    <x v="0"/>
    <n v="2417.94"/>
    <x v="0"/>
    <m/>
    <n v="0"/>
    <s v="REG100363"/>
    <s v="Cust 4394"/>
    <n v="49.79"/>
    <x v="300"/>
    <d v="2023-06-25T00:00:00"/>
    <s v="Sophie"/>
  </r>
  <r>
    <d v="2025-03-05T00:00:00"/>
    <x v="1"/>
    <x v="1"/>
    <n v="6"/>
    <n v="525.42999999999995"/>
    <s v="Store C"/>
    <x v="0"/>
    <n v="0.05"/>
    <x v="1"/>
    <n v="2994.951"/>
    <x v="2"/>
    <m/>
    <n v="0"/>
    <s v="REG100364"/>
    <s v="Cust 3323"/>
    <n v="39.28"/>
    <x v="9"/>
    <d v="2025-03-11T00:00:00"/>
    <s v="Sophie"/>
  </r>
  <r>
    <d v="2023-10-28T00:00:00"/>
    <x v="4"/>
    <x v="5"/>
    <n v="15"/>
    <n v="127.67"/>
    <s v="Store D"/>
    <x v="1"/>
    <n v="0.1"/>
    <x v="1"/>
    <n v="1723.5450000000001"/>
    <x v="3"/>
    <m/>
    <n v="0"/>
    <s v="REG100365"/>
    <s v="Cust 4029"/>
    <n v="48.77"/>
    <x v="301"/>
    <d v="2023-10-30T00:00:00"/>
    <s v="Wendy"/>
  </r>
  <r>
    <d v="2025-03-19T00:00:00"/>
    <x v="3"/>
    <x v="0"/>
    <n v="17"/>
    <n v="511.8"/>
    <s v="Store B"/>
    <x v="1"/>
    <n v="0.05"/>
    <x v="3"/>
    <n v="8265.57"/>
    <x v="2"/>
    <s v="WINTER15"/>
    <n v="1"/>
    <s v="REG100366"/>
    <s v="Cust 1400"/>
    <n v="13.33"/>
    <x v="302"/>
    <d v="2025-03-26T00:00:00"/>
    <s v="Cameron"/>
  </r>
  <r>
    <d v="2023-08-06T00:00:00"/>
    <x v="4"/>
    <x v="5"/>
    <n v="4"/>
    <n v="555.86"/>
    <s v="Store C"/>
    <x v="1"/>
    <n v="0.05"/>
    <x v="5"/>
    <n v="2112.268"/>
    <x v="4"/>
    <s v="FREESHIP"/>
    <n v="0"/>
    <s v="REG100367"/>
    <s v="Cust 6361"/>
    <n v="28.92"/>
    <x v="23"/>
    <d v="2023-08-08T00:00:00"/>
    <s v="Wendy"/>
  </r>
  <r>
    <d v="2024-09-11T00:00:00"/>
    <x v="3"/>
    <x v="4"/>
    <n v="15"/>
    <n v="202.72"/>
    <s v="Store D"/>
    <x v="1"/>
    <n v="0.05"/>
    <x v="0"/>
    <n v="2888.76"/>
    <x v="3"/>
    <s v="WINTER15"/>
    <n v="1"/>
    <s v="REG100368"/>
    <s v="Cust 5267"/>
    <n v="41.61"/>
    <x v="303"/>
    <d v="2024-09-19T00:00:00"/>
    <s v="Cameron"/>
  </r>
  <r>
    <d v="2025-01-08T00:00:00"/>
    <x v="3"/>
    <x v="3"/>
    <n v="4"/>
    <n v="353.7"/>
    <s v="Store A"/>
    <x v="0"/>
    <n v="0"/>
    <x v="2"/>
    <n v="1414.8"/>
    <x v="2"/>
    <s v="FREESHIP"/>
    <n v="0"/>
    <s v="REG100369"/>
    <s v="Cust 9354"/>
    <n v="41.98"/>
    <x v="304"/>
    <d v="2025-01-12T00:00:00"/>
    <s v="Cameron"/>
  </r>
  <r>
    <d v="2024-08-12T00:00:00"/>
    <x v="3"/>
    <x v="3"/>
    <n v="3"/>
    <n v="149.25"/>
    <s v="Store D"/>
    <x v="0"/>
    <n v="0"/>
    <x v="3"/>
    <n v="447.75"/>
    <x v="3"/>
    <m/>
    <n v="1"/>
    <s v="REG100370"/>
    <s v="Cust 9443"/>
    <n v="13.17"/>
    <x v="305"/>
    <d v="2024-08-14T00:00:00"/>
    <s v="Cameron"/>
  </r>
  <r>
    <d v="2023-03-30T00:00:00"/>
    <x v="2"/>
    <x v="4"/>
    <n v="19"/>
    <n v="156.44"/>
    <s v="Store C"/>
    <x v="0"/>
    <n v="0.1"/>
    <x v="1"/>
    <n v="2675.1239999999998"/>
    <x v="0"/>
    <s v="WINTER15"/>
    <n v="0"/>
    <s v="REG100371"/>
    <s v="Cust 2252"/>
    <n v="19.440000000000001"/>
    <x v="306"/>
    <d v="2023-04-04T00:00:00"/>
    <s v="Ryan"/>
  </r>
  <r>
    <d v="2023-02-01T00:00:00"/>
    <x v="3"/>
    <x v="1"/>
    <n v="7"/>
    <n v="241.76"/>
    <s v="Store D"/>
    <x v="0"/>
    <n v="0"/>
    <x v="3"/>
    <n v="1692.32"/>
    <x v="0"/>
    <s v="SAVE10"/>
    <n v="0"/>
    <s v="REG100372"/>
    <s v="Cust 1031"/>
    <n v="48.13"/>
    <x v="307"/>
    <d v="2023-02-09T00:00:00"/>
    <s v="Cameron"/>
  </r>
  <r>
    <d v="2025-04-18T00:00:00"/>
    <x v="2"/>
    <x v="0"/>
    <n v="20"/>
    <n v="170.49"/>
    <s v="Store A"/>
    <x v="0"/>
    <n v="0"/>
    <x v="4"/>
    <n v="3409.8"/>
    <x v="0"/>
    <s v="FREESHIP"/>
    <n v="0"/>
    <s v="REG100373"/>
    <s v="Cust 6086"/>
    <n v="19.739999999999998"/>
    <x v="308"/>
    <d v="2025-04-27T00:00:00"/>
    <s v="Ryan"/>
  </r>
  <r>
    <d v="2025-03-29T00:00:00"/>
    <x v="3"/>
    <x v="4"/>
    <n v="11"/>
    <n v="149.66999999999999"/>
    <s v="Store C"/>
    <x v="1"/>
    <n v="0.1"/>
    <x v="0"/>
    <n v="1481.7329999999999"/>
    <x v="2"/>
    <m/>
    <n v="0"/>
    <s v="REG100374"/>
    <s v="Cust 1672"/>
    <n v="34.130000000000003"/>
    <x v="259"/>
    <d v="2025-04-02T00:00:00"/>
    <s v="Cameron"/>
  </r>
  <r>
    <d v="2024-04-25T00:00:00"/>
    <x v="0"/>
    <x v="5"/>
    <n v="1"/>
    <n v="173.56"/>
    <s v="Store D"/>
    <x v="1"/>
    <n v="0.1"/>
    <x v="0"/>
    <n v="156.20400000000001"/>
    <x v="3"/>
    <s v="FREESHIP"/>
    <n v="0"/>
    <s v="REG100375"/>
    <s v="Cust 9313"/>
    <n v="39.1"/>
    <x v="290"/>
    <d v="2024-04-28T00:00:00"/>
    <s v="Eric"/>
  </r>
  <r>
    <d v="2024-09-22T00:00:00"/>
    <x v="1"/>
    <x v="4"/>
    <n v="7"/>
    <n v="349.55"/>
    <s v="Store A"/>
    <x v="1"/>
    <n v="0.05"/>
    <x v="3"/>
    <n v="2324.5075000000002"/>
    <x v="2"/>
    <s v="FREESHIP"/>
    <n v="0"/>
    <s v="REG100376"/>
    <s v="Cust 4405"/>
    <n v="23.7"/>
    <x v="309"/>
    <d v="2024-09-27T00:00:00"/>
    <s v="Sophie"/>
  </r>
  <r>
    <d v="2023-08-05T00:00:00"/>
    <x v="3"/>
    <x v="5"/>
    <n v="9"/>
    <n v="245.14"/>
    <s v="Store B"/>
    <x v="0"/>
    <n v="0"/>
    <x v="1"/>
    <n v="2206.2600000000002"/>
    <x v="0"/>
    <s v="SAVE10"/>
    <n v="1"/>
    <s v="REG100377"/>
    <s v="Cust 6453"/>
    <n v="44.6"/>
    <x v="285"/>
    <d v="2023-08-14T00:00:00"/>
    <s v="Cameron"/>
  </r>
  <r>
    <d v="2024-06-07T00:00:00"/>
    <x v="1"/>
    <x v="2"/>
    <n v="1"/>
    <n v="423.08"/>
    <s v="Store B"/>
    <x v="0"/>
    <n v="0.05"/>
    <x v="5"/>
    <n v="401.92599999999999"/>
    <x v="1"/>
    <s v="WINTER15"/>
    <n v="0"/>
    <s v="REG100378"/>
    <s v="Cust 4772"/>
    <n v="31.75"/>
    <x v="310"/>
    <d v="2024-06-11T00:00:00"/>
    <s v="Sophie"/>
  </r>
  <r>
    <d v="2025-05-24T00:00:00"/>
    <x v="0"/>
    <x v="1"/>
    <n v="19"/>
    <n v="337.82"/>
    <s v="Store B"/>
    <x v="0"/>
    <n v="0.15"/>
    <x v="1"/>
    <n v="5455.7929999999997"/>
    <x v="0"/>
    <s v="FREESHIP"/>
    <n v="0"/>
    <s v="REG100379"/>
    <s v="Cust 1762"/>
    <n v="45.74"/>
    <x v="311"/>
    <d v="2025-05-30T00:00:00"/>
    <s v="Eric"/>
  </r>
  <r>
    <d v="2024-07-18T00:00:00"/>
    <x v="1"/>
    <x v="3"/>
    <n v="10"/>
    <n v="252.63"/>
    <s v="Store B"/>
    <x v="1"/>
    <n v="0.15"/>
    <x v="0"/>
    <n v="2147.355"/>
    <x v="4"/>
    <s v="FREESHIP"/>
    <n v="0"/>
    <s v="REG100380"/>
    <s v="Cust 1865"/>
    <n v="8.92"/>
    <x v="118"/>
    <d v="2024-07-25T00:00:00"/>
    <s v="Sophie"/>
  </r>
  <r>
    <d v="2024-07-14T00:00:00"/>
    <x v="4"/>
    <x v="5"/>
    <n v="3"/>
    <n v="87.02"/>
    <s v="Store B"/>
    <x v="0"/>
    <n v="0.1"/>
    <x v="2"/>
    <n v="234.95400000000001"/>
    <x v="4"/>
    <s v="WINTER15"/>
    <n v="0"/>
    <s v="REG100381"/>
    <s v="Cust 9552"/>
    <n v="11.13"/>
    <x v="106"/>
    <d v="2024-07-16T00:00:00"/>
    <s v="Wendy"/>
  </r>
  <r>
    <d v="2023-04-14T00:00:00"/>
    <x v="3"/>
    <x v="5"/>
    <n v="11"/>
    <n v="6.72"/>
    <s v="Store D"/>
    <x v="0"/>
    <n v="0.05"/>
    <x v="5"/>
    <n v="70.224000000000004"/>
    <x v="4"/>
    <s v="SAVE10"/>
    <n v="0"/>
    <s v="REG100382"/>
    <s v="Cust 4273"/>
    <n v="34.270000000000003"/>
    <x v="271"/>
    <d v="2023-04-19T00:00:00"/>
    <s v="Cameron"/>
  </r>
  <r>
    <d v="2023-06-01T00:00:00"/>
    <x v="1"/>
    <x v="6"/>
    <n v="2"/>
    <n v="279.38"/>
    <s v="Store D"/>
    <x v="1"/>
    <n v="0.1"/>
    <x v="3"/>
    <n v="502.88400000000001"/>
    <x v="0"/>
    <s v="FREESHIP"/>
    <n v="0"/>
    <s v="REG100383"/>
    <s v="Cust 8712"/>
    <n v="22.95"/>
    <x v="312"/>
    <d v="2023-06-06T00:00:00"/>
    <s v="Sophie"/>
  </r>
  <r>
    <d v="2025-04-17T00:00:00"/>
    <x v="3"/>
    <x v="1"/>
    <n v="9"/>
    <n v="207.8"/>
    <s v="Store D"/>
    <x v="1"/>
    <n v="0.1"/>
    <x v="1"/>
    <n v="1683.18"/>
    <x v="0"/>
    <s v="WINTER15"/>
    <n v="0"/>
    <s v="REG100384"/>
    <s v="Cust 9048"/>
    <n v="16.989999999999998"/>
    <x v="313"/>
    <d v="2025-04-20T00:00:00"/>
    <s v="Cameron"/>
  </r>
  <r>
    <d v="2025-03-31T00:00:00"/>
    <x v="0"/>
    <x v="6"/>
    <n v="15"/>
    <n v="511.88"/>
    <s v="Store C"/>
    <x v="0"/>
    <n v="0.05"/>
    <x v="5"/>
    <n v="7294.2899999999991"/>
    <x v="4"/>
    <s v="SAVE10"/>
    <n v="0"/>
    <s v="REG100385"/>
    <s v="Cust 7714"/>
    <n v="10.220000000000001"/>
    <x v="314"/>
    <d v="2025-04-09T00:00:00"/>
    <s v="Eric"/>
  </r>
  <r>
    <d v="2024-07-15T00:00:00"/>
    <x v="0"/>
    <x v="6"/>
    <n v="10"/>
    <n v="325.97000000000003"/>
    <s v="Store D"/>
    <x v="1"/>
    <n v="0"/>
    <x v="5"/>
    <n v="3259.7"/>
    <x v="4"/>
    <s v="FREESHIP"/>
    <n v="1"/>
    <s v="REG100386"/>
    <s v="Cust 4770"/>
    <n v="49.95"/>
    <x v="236"/>
    <d v="2024-07-22T00:00:00"/>
    <s v="Eric"/>
  </r>
  <r>
    <d v="2024-08-30T00:00:00"/>
    <x v="1"/>
    <x v="0"/>
    <n v="17"/>
    <n v="469.32"/>
    <s v="Store B"/>
    <x v="1"/>
    <n v="0"/>
    <x v="3"/>
    <n v="7978.44"/>
    <x v="1"/>
    <s v="WINTER15"/>
    <n v="1"/>
    <s v="REG100387"/>
    <s v="Cust 2007"/>
    <n v="5.86"/>
    <x v="315"/>
    <d v="2024-09-01T00:00:00"/>
    <s v="Sophie"/>
  </r>
  <r>
    <d v="2025-01-07T00:00:00"/>
    <x v="3"/>
    <x v="1"/>
    <n v="13"/>
    <n v="186.69"/>
    <s v="Store D"/>
    <x v="0"/>
    <n v="0"/>
    <x v="5"/>
    <n v="2426.9699999999998"/>
    <x v="4"/>
    <s v="FREESHIP"/>
    <n v="0"/>
    <s v="REG100388"/>
    <s v="Cust 8909"/>
    <n v="19.920000000000002"/>
    <x v="316"/>
    <d v="2025-01-10T00:00:00"/>
    <s v="Cameron"/>
  </r>
  <r>
    <d v="2025-02-05T00:00:00"/>
    <x v="1"/>
    <x v="1"/>
    <n v="16"/>
    <n v="34.659999999999997"/>
    <s v="Store C"/>
    <x v="1"/>
    <n v="0.05"/>
    <x v="1"/>
    <n v="526.83199999999988"/>
    <x v="3"/>
    <m/>
    <n v="0"/>
    <s v="REG100389"/>
    <s v="Cust 4196"/>
    <n v="49.9"/>
    <x v="317"/>
    <d v="2025-02-11T00:00:00"/>
    <s v="Sophie"/>
  </r>
  <r>
    <d v="2024-04-01T00:00:00"/>
    <x v="2"/>
    <x v="6"/>
    <n v="18"/>
    <n v="155.04"/>
    <s v="Store B"/>
    <x v="0"/>
    <n v="0.15"/>
    <x v="2"/>
    <n v="2372.1120000000001"/>
    <x v="4"/>
    <s v="WINTER15"/>
    <n v="0"/>
    <s v="REG100390"/>
    <s v="Cust 4189"/>
    <n v="39.99"/>
    <x v="204"/>
    <d v="2024-04-04T00:00:00"/>
    <s v="Ryan"/>
  </r>
  <r>
    <d v="2025-03-01T00:00:00"/>
    <x v="4"/>
    <x v="4"/>
    <n v="4"/>
    <n v="69.599999999999994"/>
    <s v="Store D"/>
    <x v="0"/>
    <n v="0.05"/>
    <x v="0"/>
    <n v="264.48"/>
    <x v="1"/>
    <s v="SAVE10"/>
    <n v="0"/>
    <s v="REG100391"/>
    <s v="Cust 7226"/>
    <n v="17.68"/>
    <x v="89"/>
    <d v="2025-03-09T00:00:00"/>
    <s v="Wendy"/>
  </r>
  <r>
    <d v="2023-07-03T00:00:00"/>
    <x v="3"/>
    <x v="4"/>
    <n v="13"/>
    <n v="55.09"/>
    <s v="Store A"/>
    <x v="0"/>
    <n v="0.15"/>
    <x v="4"/>
    <n v="608.74450000000002"/>
    <x v="4"/>
    <s v="FREESHIP"/>
    <n v="1"/>
    <s v="REG100392"/>
    <s v="Cust 5015"/>
    <n v="47.78"/>
    <x v="318"/>
    <d v="2023-07-06T00:00:00"/>
    <s v="Cameron"/>
  </r>
  <r>
    <d v="2023-04-25T00:00:00"/>
    <x v="3"/>
    <x v="0"/>
    <n v="13"/>
    <n v="206.11"/>
    <s v="Store B"/>
    <x v="1"/>
    <n v="0.15"/>
    <x v="5"/>
    <n v="2277.5155"/>
    <x v="1"/>
    <s v="SAVE10"/>
    <n v="1"/>
    <s v="REG100393"/>
    <s v="Cust 9904"/>
    <n v="22.59"/>
    <x v="319"/>
    <d v="2023-05-01T00:00:00"/>
    <s v="Cameron"/>
  </r>
  <r>
    <d v="2025-04-09T00:00:00"/>
    <x v="4"/>
    <x v="5"/>
    <n v="14"/>
    <n v="484.38"/>
    <s v="Store D"/>
    <x v="1"/>
    <n v="0.05"/>
    <x v="2"/>
    <n v="6442.253999999999"/>
    <x v="3"/>
    <s v="SAVE10"/>
    <n v="0"/>
    <s v="REG100394"/>
    <s v="Cust 7687"/>
    <n v="29.24"/>
    <x v="320"/>
    <d v="2025-04-19T00:00:00"/>
    <s v="Wendy"/>
  </r>
  <r>
    <d v="2023-11-05T00:00:00"/>
    <x v="2"/>
    <x v="4"/>
    <n v="6"/>
    <n v="449.57"/>
    <s v="Store D"/>
    <x v="0"/>
    <n v="0"/>
    <x v="2"/>
    <n v="2697.42"/>
    <x v="1"/>
    <s v="WINTER15"/>
    <n v="0"/>
    <s v="REG100395"/>
    <s v="Cust 6511"/>
    <n v="23.09"/>
    <x v="321"/>
    <d v="2023-11-12T00:00:00"/>
    <s v="Ryan"/>
  </r>
  <r>
    <d v="2023-01-13T00:00:00"/>
    <x v="0"/>
    <x v="0"/>
    <n v="9"/>
    <n v="223.01"/>
    <s v="Store C"/>
    <x v="1"/>
    <n v="0"/>
    <x v="4"/>
    <n v="2007.09"/>
    <x v="4"/>
    <m/>
    <n v="1"/>
    <s v="REG100396"/>
    <s v="Cust 2412"/>
    <n v="11.9"/>
    <x v="322"/>
    <d v="2023-01-19T00:00:00"/>
    <s v="Eric"/>
  </r>
  <r>
    <d v="2025-02-06T00:00:00"/>
    <x v="4"/>
    <x v="3"/>
    <n v="14"/>
    <n v="291.91000000000003"/>
    <s v="Store A"/>
    <x v="1"/>
    <n v="0.15"/>
    <x v="2"/>
    <n v="3473.7289999999998"/>
    <x v="2"/>
    <m/>
    <n v="0"/>
    <s v="REG100397"/>
    <s v="Cust 1664"/>
    <n v="27.51"/>
    <x v="323"/>
    <d v="2025-02-10T00:00:00"/>
    <s v="Wendy"/>
  </r>
  <r>
    <d v="2023-05-20T00:00:00"/>
    <x v="1"/>
    <x v="4"/>
    <n v="13"/>
    <n v="90.86"/>
    <s v="Store A"/>
    <x v="0"/>
    <n v="0"/>
    <x v="3"/>
    <n v="1181.18"/>
    <x v="1"/>
    <s v="SAVE10"/>
    <n v="0"/>
    <s v="REG100398"/>
    <s v="Cust 6033"/>
    <n v="16.739999999999998"/>
    <x v="42"/>
    <d v="2023-05-25T00:00:00"/>
    <s v="Sophie"/>
  </r>
  <r>
    <d v="2025-06-18T00:00:00"/>
    <x v="0"/>
    <x v="2"/>
    <n v="4"/>
    <n v="109.05"/>
    <s v="Store D"/>
    <x v="0"/>
    <n v="0"/>
    <x v="4"/>
    <n v="436.2"/>
    <x v="1"/>
    <s v="WINTER15"/>
    <n v="0"/>
    <s v="REG100399"/>
    <s v="Cust 4019"/>
    <n v="21.02"/>
    <x v="324"/>
    <d v="2025-06-24T00:00:00"/>
    <s v="Eric"/>
  </r>
  <r>
    <d v="2023-02-23T00:00:00"/>
    <x v="4"/>
    <x v="5"/>
    <n v="12"/>
    <n v="245.6"/>
    <s v="Store D"/>
    <x v="1"/>
    <n v="0"/>
    <x v="5"/>
    <n v="2947.2"/>
    <x v="4"/>
    <s v="FREESHIP"/>
    <n v="1"/>
    <s v="REG100400"/>
    <s v="Cust 4515"/>
    <n v="43.92"/>
    <x v="0"/>
    <d v="2023-02-27T00:00:00"/>
    <s v="Wendy"/>
  </r>
  <r>
    <d v="2024-11-09T00:00:00"/>
    <x v="0"/>
    <x v="6"/>
    <n v="15"/>
    <n v="380.03"/>
    <s v="Store A"/>
    <x v="1"/>
    <n v="0"/>
    <x v="5"/>
    <n v="5700.45"/>
    <x v="0"/>
    <m/>
    <n v="0"/>
    <s v="REG100401"/>
    <s v="Cust 7532"/>
    <n v="25.72"/>
    <x v="325"/>
    <d v="2024-11-12T00:00:00"/>
    <s v="Eric"/>
  </r>
  <r>
    <d v="2024-07-25T00:00:00"/>
    <x v="1"/>
    <x v="5"/>
    <n v="3"/>
    <n v="417.58"/>
    <s v="Store D"/>
    <x v="1"/>
    <n v="0.05"/>
    <x v="2"/>
    <n v="1190.1030000000001"/>
    <x v="1"/>
    <s v="SAVE10"/>
    <n v="0"/>
    <s v="REG100402"/>
    <s v="Cust 8756"/>
    <n v="43.42"/>
    <x v="245"/>
    <d v="2024-07-31T00:00:00"/>
    <s v="Sophie"/>
  </r>
  <r>
    <d v="2023-08-19T00:00:00"/>
    <x v="4"/>
    <x v="0"/>
    <n v="15"/>
    <n v="432.17"/>
    <s v="Store D"/>
    <x v="0"/>
    <n v="0.15"/>
    <x v="2"/>
    <n v="5510.1674999999996"/>
    <x v="3"/>
    <s v="WINTER15"/>
    <n v="0"/>
    <s v="REG100403"/>
    <s v="Cust 7620"/>
    <n v="44.88"/>
    <x v="326"/>
    <d v="2023-08-23T00:00:00"/>
    <s v="Wendy"/>
  </r>
  <r>
    <d v="2023-11-13T00:00:00"/>
    <x v="1"/>
    <x v="4"/>
    <n v="13"/>
    <n v="531.77"/>
    <s v="Store C"/>
    <x v="1"/>
    <n v="0.1"/>
    <x v="5"/>
    <n v="6221.7090000000007"/>
    <x v="0"/>
    <s v="SAVE10"/>
    <n v="0"/>
    <s v="REG100404"/>
    <s v="Cust 7368"/>
    <n v="37.909999999999997"/>
    <x v="327"/>
    <d v="2023-11-15T00:00:00"/>
    <s v="Sophie"/>
  </r>
  <r>
    <d v="2024-09-10T00:00:00"/>
    <x v="4"/>
    <x v="5"/>
    <n v="13"/>
    <n v="442.99"/>
    <s v="Store A"/>
    <x v="0"/>
    <n v="0.05"/>
    <x v="1"/>
    <n v="5470.9264999999996"/>
    <x v="1"/>
    <s v="SAVE10"/>
    <n v="0"/>
    <s v="REG100405"/>
    <s v="Cust 1319"/>
    <n v="37.119999999999997"/>
    <x v="328"/>
    <d v="2024-09-18T00:00:00"/>
    <s v="Wendy"/>
  </r>
  <r>
    <d v="2024-08-30T00:00:00"/>
    <x v="3"/>
    <x v="3"/>
    <n v="13"/>
    <n v="567.5"/>
    <s v="Store A"/>
    <x v="1"/>
    <n v="0"/>
    <x v="0"/>
    <n v="7377.5"/>
    <x v="2"/>
    <m/>
    <n v="0"/>
    <s v="REG100406"/>
    <s v="Cust 9597"/>
    <n v="28.41"/>
    <x v="315"/>
    <d v="2024-09-02T00:00:00"/>
    <s v="Cameron"/>
  </r>
  <r>
    <d v="2024-11-10T00:00:00"/>
    <x v="0"/>
    <x v="5"/>
    <n v="15"/>
    <n v="469.52"/>
    <s v="Store C"/>
    <x v="0"/>
    <n v="0"/>
    <x v="1"/>
    <n v="7042.7999999999993"/>
    <x v="2"/>
    <s v="FREESHIP"/>
    <n v="0"/>
    <s v="REG100407"/>
    <s v="Cust 7369"/>
    <n v="35.6"/>
    <x v="329"/>
    <d v="2024-11-17T00:00:00"/>
    <s v="Eric"/>
  </r>
  <r>
    <d v="2023-04-13T00:00:00"/>
    <x v="0"/>
    <x v="6"/>
    <n v="1"/>
    <n v="396.09"/>
    <s v="Store D"/>
    <x v="0"/>
    <n v="0.15"/>
    <x v="2"/>
    <n v="336.67649999999998"/>
    <x v="2"/>
    <s v="WINTER15"/>
    <n v="0"/>
    <s v="REG100408"/>
    <s v="Cust 8592"/>
    <n v="39.380000000000003"/>
    <x v="330"/>
    <d v="2023-04-19T00:00:00"/>
    <s v="Eric"/>
  </r>
  <r>
    <d v="2023-11-20T00:00:00"/>
    <x v="0"/>
    <x v="0"/>
    <n v="12"/>
    <n v="195.73"/>
    <s v="Store C"/>
    <x v="0"/>
    <n v="0.05"/>
    <x v="1"/>
    <n v="2231.3220000000001"/>
    <x v="4"/>
    <s v="SAVE10"/>
    <n v="0"/>
    <s v="REG100409"/>
    <s v="Cust 2337"/>
    <n v="37.090000000000003"/>
    <x v="331"/>
    <d v="2023-11-27T00:00:00"/>
    <s v="Eric"/>
  </r>
  <r>
    <d v="2025-04-14T00:00:00"/>
    <x v="2"/>
    <x v="6"/>
    <n v="5"/>
    <n v="412.24"/>
    <s v="Store B"/>
    <x v="0"/>
    <n v="0.15"/>
    <x v="3"/>
    <n v="1752.02"/>
    <x v="4"/>
    <s v="FREESHIP"/>
    <n v="0"/>
    <s v="REG100410"/>
    <s v="Cust 9697"/>
    <n v="29.31"/>
    <x v="297"/>
    <d v="2025-04-19T00:00:00"/>
    <s v="Ryan"/>
  </r>
  <r>
    <d v="2023-03-04T00:00:00"/>
    <x v="3"/>
    <x v="4"/>
    <n v="11"/>
    <n v="558.5"/>
    <s v="Store B"/>
    <x v="1"/>
    <n v="0.15"/>
    <x v="3"/>
    <n v="5221.9749999999995"/>
    <x v="4"/>
    <s v="WINTER15"/>
    <n v="0"/>
    <s v="REG100411"/>
    <s v="Cust 5895"/>
    <n v="48.15"/>
    <x v="332"/>
    <d v="2023-03-09T00:00:00"/>
    <s v="Cameron"/>
  </r>
  <r>
    <d v="2024-11-16T00:00:00"/>
    <x v="2"/>
    <x v="0"/>
    <n v="4"/>
    <n v="175.34"/>
    <s v="Store C"/>
    <x v="1"/>
    <n v="0.15"/>
    <x v="0"/>
    <n v="596.15599999999995"/>
    <x v="4"/>
    <s v="FREESHIP"/>
    <n v="0"/>
    <s v="REG100412"/>
    <s v="Cust 9097"/>
    <n v="40.86"/>
    <x v="85"/>
    <d v="2024-11-19T00:00:00"/>
    <s v="Ryan"/>
  </r>
  <r>
    <d v="2024-05-25T00:00:00"/>
    <x v="1"/>
    <x v="0"/>
    <n v="19"/>
    <n v="478.73"/>
    <s v="Store A"/>
    <x v="1"/>
    <n v="0"/>
    <x v="2"/>
    <n v="9095.8700000000008"/>
    <x v="3"/>
    <s v="WINTER15"/>
    <n v="1"/>
    <s v="REG100413"/>
    <s v="Cust 5938"/>
    <n v="46.46"/>
    <x v="333"/>
    <d v="2024-06-02T00:00:00"/>
    <s v="Sophie"/>
  </r>
  <r>
    <d v="2023-04-12T00:00:00"/>
    <x v="0"/>
    <x v="2"/>
    <n v="5"/>
    <n v="365.38"/>
    <s v="Store D"/>
    <x v="0"/>
    <n v="0.15"/>
    <x v="1"/>
    <n v="1552.865"/>
    <x v="3"/>
    <s v="SAVE10"/>
    <n v="1"/>
    <s v="REG100414"/>
    <s v="Cust 6928"/>
    <n v="5.66"/>
    <x v="264"/>
    <d v="2023-04-15T00:00:00"/>
    <s v="Eric"/>
  </r>
  <r>
    <d v="2023-03-07T00:00:00"/>
    <x v="1"/>
    <x v="2"/>
    <n v="10"/>
    <n v="397.33"/>
    <s v="Store B"/>
    <x v="1"/>
    <n v="0.15"/>
    <x v="1"/>
    <n v="3377.3049999999998"/>
    <x v="2"/>
    <m/>
    <n v="0"/>
    <s v="REG100415"/>
    <s v="Cust 6223"/>
    <n v="10.199999999999999"/>
    <x v="334"/>
    <d v="2023-03-13T00:00:00"/>
    <s v="Sophie"/>
  </r>
  <r>
    <d v="2024-01-05T00:00:00"/>
    <x v="3"/>
    <x v="3"/>
    <n v="17"/>
    <n v="241.01"/>
    <s v="Store A"/>
    <x v="1"/>
    <n v="0.1"/>
    <x v="5"/>
    <n v="3687.453"/>
    <x v="3"/>
    <s v="WINTER15"/>
    <n v="0"/>
    <s v="REG100416"/>
    <s v="Cust 7614"/>
    <n v="24.69"/>
    <x v="52"/>
    <d v="2024-01-11T00:00:00"/>
    <s v="Cameron"/>
  </r>
  <r>
    <d v="2024-10-31T00:00:00"/>
    <x v="4"/>
    <x v="2"/>
    <n v="17"/>
    <n v="82.2"/>
    <s v="Store C"/>
    <x v="0"/>
    <n v="0"/>
    <x v="1"/>
    <n v="1397.4"/>
    <x v="4"/>
    <s v="WINTER15"/>
    <n v="0"/>
    <s v="REG100417"/>
    <s v="Cust 3231"/>
    <n v="32.5"/>
    <x v="335"/>
    <d v="2024-11-10T00:00:00"/>
    <s v="Wendy"/>
  </r>
  <r>
    <d v="2024-05-08T00:00:00"/>
    <x v="4"/>
    <x v="4"/>
    <n v="16"/>
    <n v="170.77"/>
    <s v="Store C"/>
    <x v="1"/>
    <n v="0.1"/>
    <x v="2"/>
    <n v="2459.0880000000002"/>
    <x v="0"/>
    <s v="SAVE10"/>
    <n v="1"/>
    <s v="REG100418"/>
    <s v="Cust 9123"/>
    <n v="45.93"/>
    <x v="336"/>
    <d v="2024-05-14T00:00:00"/>
    <s v="Wendy"/>
  </r>
  <r>
    <d v="2024-03-05T00:00:00"/>
    <x v="3"/>
    <x v="4"/>
    <n v="1"/>
    <n v="8.1999999999999993"/>
    <s v="Store C"/>
    <x v="0"/>
    <n v="0.15"/>
    <x v="2"/>
    <n v="6.9699999999999989"/>
    <x v="3"/>
    <m/>
    <n v="0"/>
    <s v="REG100419"/>
    <s v="Cust 7054"/>
    <n v="30.35"/>
    <x v="337"/>
    <d v="2024-03-15T00:00:00"/>
    <s v="Cameron"/>
  </r>
  <r>
    <d v="2023-07-18T00:00:00"/>
    <x v="2"/>
    <x v="0"/>
    <n v="12"/>
    <n v="425.78"/>
    <s v="Store A"/>
    <x v="1"/>
    <n v="0.1"/>
    <x v="5"/>
    <n v="4598.424"/>
    <x v="0"/>
    <m/>
    <n v="1"/>
    <s v="REG100420"/>
    <s v="Cust 4240"/>
    <n v="25.48"/>
    <x v="338"/>
    <d v="2023-07-22T00:00:00"/>
    <s v="Ryan"/>
  </r>
  <r>
    <d v="2023-08-05T00:00:00"/>
    <x v="1"/>
    <x v="6"/>
    <n v="20"/>
    <n v="121.14"/>
    <s v="Store C"/>
    <x v="1"/>
    <n v="0.1"/>
    <x v="5"/>
    <n v="2180.52"/>
    <x v="2"/>
    <s v="FREESHIP"/>
    <n v="0"/>
    <s v="REG100421"/>
    <s v="Cust 1237"/>
    <n v="21.47"/>
    <x v="285"/>
    <d v="2023-08-14T00:00:00"/>
    <s v="Sophie"/>
  </r>
  <r>
    <d v="2023-09-18T00:00:00"/>
    <x v="4"/>
    <x v="5"/>
    <n v="19"/>
    <n v="448.13"/>
    <s v="Store D"/>
    <x v="0"/>
    <n v="0"/>
    <x v="1"/>
    <n v="8514.4699999999993"/>
    <x v="3"/>
    <s v="FREESHIP"/>
    <n v="0"/>
    <s v="REG100422"/>
    <s v="Cust 5513"/>
    <n v="28.29"/>
    <x v="339"/>
    <d v="2023-09-20T00:00:00"/>
    <s v="Wendy"/>
  </r>
  <r>
    <d v="2023-03-27T00:00:00"/>
    <x v="1"/>
    <x v="0"/>
    <n v="8"/>
    <n v="7.81"/>
    <s v="Store D"/>
    <x v="0"/>
    <n v="0.1"/>
    <x v="2"/>
    <n v="56.231999999999999"/>
    <x v="0"/>
    <s v="SAVE10"/>
    <n v="0"/>
    <s v="REG100423"/>
    <s v="Cust 1835"/>
    <n v="25.03"/>
    <x v="340"/>
    <d v="2023-03-29T00:00:00"/>
    <s v="Sophie"/>
  </r>
  <r>
    <d v="2023-03-08T00:00:00"/>
    <x v="0"/>
    <x v="3"/>
    <n v="19"/>
    <n v="191.44"/>
    <s v="Store C"/>
    <x v="0"/>
    <n v="0.15"/>
    <x v="3"/>
    <n v="3091.7559999999999"/>
    <x v="4"/>
    <s v="WINTER15"/>
    <n v="1"/>
    <s v="REG100424"/>
    <s v="Cust 8492"/>
    <n v="35.54"/>
    <x v="341"/>
    <d v="2023-03-17T00:00:00"/>
    <s v="Eric"/>
  </r>
  <r>
    <d v="2024-05-02T00:00:00"/>
    <x v="4"/>
    <x v="2"/>
    <n v="5"/>
    <n v="245.2"/>
    <s v="Store B"/>
    <x v="1"/>
    <n v="0.15"/>
    <x v="0"/>
    <n v="1042.0999999999999"/>
    <x v="0"/>
    <m/>
    <n v="0"/>
    <s v="REG100425"/>
    <s v="Cust 2451"/>
    <n v="46.37"/>
    <x v="342"/>
    <d v="2024-05-06T00:00:00"/>
    <s v="Wendy"/>
  </r>
  <r>
    <d v="2023-09-16T00:00:00"/>
    <x v="2"/>
    <x v="2"/>
    <n v="17"/>
    <n v="163.37"/>
    <s v="Store B"/>
    <x v="0"/>
    <n v="0.15"/>
    <x v="0"/>
    <n v="2360.6965"/>
    <x v="1"/>
    <s v="SAVE10"/>
    <n v="0"/>
    <s v="REG100426"/>
    <s v="Cust 4509"/>
    <n v="5.36"/>
    <x v="292"/>
    <d v="2023-09-26T00:00:00"/>
    <s v="Ryan"/>
  </r>
  <r>
    <d v="2023-06-13T00:00:00"/>
    <x v="1"/>
    <x v="5"/>
    <n v="14"/>
    <n v="583.96"/>
    <s v="Store C"/>
    <x v="1"/>
    <n v="0"/>
    <x v="4"/>
    <n v="8175.4400000000014"/>
    <x v="3"/>
    <s v="WINTER15"/>
    <n v="0"/>
    <s v="REG100427"/>
    <s v="Cust 6643"/>
    <n v="23.03"/>
    <x v="343"/>
    <d v="2023-06-22T00:00:00"/>
    <s v="Sophie"/>
  </r>
  <r>
    <d v="2023-11-05T00:00:00"/>
    <x v="2"/>
    <x v="2"/>
    <n v="16"/>
    <n v="181.08"/>
    <s v="Store C"/>
    <x v="1"/>
    <n v="0.1"/>
    <x v="3"/>
    <n v="2607.5520000000001"/>
    <x v="0"/>
    <s v="WINTER15"/>
    <n v="0"/>
    <s v="REG100428"/>
    <s v="Cust 2559"/>
    <n v="39.840000000000003"/>
    <x v="321"/>
    <d v="2023-11-08T00:00:00"/>
    <s v="Ryan"/>
  </r>
  <r>
    <d v="2024-11-23T00:00:00"/>
    <x v="1"/>
    <x v="5"/>
    <n v="8"/>
    <n v="414.94"/>
    <s v="Store A"/>
    <x v="0"/>
    <n v="0"/>
    <x v="1"/>
    <n v="3319.52"/>
    <x v="3"/>
    <s v="SAVE10"/>
    <n v="0"/>
    <s v="REG100429"/>
    <s v="Cust 4423"/>
    <n v="46.58"/>
    <x v="344"/>
    <d v="2024-11-26T00:00:00"/>
    <s v="Sophie"/>
  </r>
  <r>
    <d v="2024-02-09T00:00:00"/>
    <x v="3"/>
    <x v="1"/>
    <n v="16"/>
    <n v="442.22"/>
    <s v="Store B"/>
    <x v="1"/>
    <n v="0"/>
    <x v="1"/>
    <n v="7075.52"/>
    <x v="4"/>
    <s v="FREESHIP"/>
    <n v="0"/>
    <s v="REG100430"/>
    <s v="Cust 9139"/>
    <n v="27.36"/>
    <x v="345"/>
    <d v="2024-02-18T00:00:00"/>
    <s v="Cameron"/>
  </r>
  <r>
    <d v="2023-11-16T00:00:00"/>
    <x v="3"/>
    <x v="6"/>
    <n v="14"/>
    <n v="595.39"/>
    <s v="Store A"/>
    <x v="0"/>
    <n v="0.1"/>
    <x v="5"/>
    <n v="7501.9139999999998"/>
    <x v="2"/>
    <s v="SAVE10"/>
    <n v="0"/>
    <s v="REG100431"/>
    <s v="Cust 6668"/>
    <n v="9.51"/>
    <x v="346"/>
    <d v="2023-11-22T00:00:00"/>
    <s v="Cameron"/>
  </r>
  <r>
    <d v="2025-01-24T00:00:00"/>
    <x v="3"/>
    <x v="4"/>
    <n v="6"/>
    <n v="175.3"/>
    <s v="Store A"/>
    <x v="0"/>
    <n v="0.15"/>
    <x v="1"/>
    <n v="894.03000000000009"/>
    <x v="4"/>
    <s v="SAVE10"/>
    <n v="1"/>
    <s v="REG100432"/>
    <s v="Cust 4315"/>
    <n v="17.920000000000002"/>
    <x v="239"/>
    <d v="2025-01-29T00:00:00"/>
    <s v="Cameron"/>
  </r>
  <r>
    <d v="2025-05-06T00:00:00"/>
    <x v="3"/>
    <x v="5"/>
    <n v="7"/>
    <n v="319.58999999999997"/>
    <s v="Store C"/>
    <x v="0"/>
    <n v="0.15"/>
    <x v="3"/>
    <n v="1901.5605"/>
    <x v="1"/>
    <s v="WINTER15"/>
    <n v="1"/>
    <s v="REG100433"/>
    <s v="Cust 8000"/>
    <n v="8.4700000000000006"/>
    <x v="276"/>
    <d v="2025-05-09T00:00:00"/>
    <s v="Cameron"/>
  </r>
  <r>
    <d v="2025-05-17T00:00:00"/>
    <x v="0"/>
    <x v="6"/>
    <n v="15"/>
    <n v="506.81"/>
    <s v="Store A"/>
    <x v="1"/>
    <n v="0.15"/>
    <x v="5"/>
    <n v="6461.8274999999994"/>
    <x v="4"/>
    <s v="FREESHIP"/>
    <n v="1"/>
    <s v="REG100434"/>
    <s v="Cust 7585"/>
    <n v="41.03"/>
    <x v="347"/>
    <d v="2025-05-27T00:00:00"/>
    <s v="Eric"/>
  </r>
  <r>
    <d v="2023-11-29T00:00:00"/>
    <x v="3"/>
    <x v="0"/>
    <n v="17"/>
    <n v="538.08000000000004"/>
    <s v="Store A"/>
    <x v="1"/>
    <n v="0.05"/>
    <x v="0"/>
    <n v="8689.9920000000002"/>
    <x v="3"/>
    <s v="FREESHIP"/>
    <n v="0"/>
    <s v="REG100435"/>
    <s v="Cust 3127"/>
    <n v="19.61"/>
    <x v="348"/>
    <d v="2023-12-01T00:00:00"/>
    <s v="Cameron"/>
  </r>
  <r>
    <d v="2023-02-24T00:00:00"/>
    <x v="1"/>
    <x v="3"/>
    <n v="16"/>
    <n v="187.84"/>
    <s v="Store A"/>
    <x v="1"/>
    <n v="0"/>
    <x v="1"/>
    <n v="3005.44"/>
    <x v="2"/>
    <s v="SAVE10"/>
    <n v="0"/>
    <s v="REG100436"/>
    <s v="Cust 4130"/>
    <n v="18.649999999999999"/>
    <x v="349"/>
    <d v="2023-02-26T00:00:00"/>
    <s v="Sophie"/>
  </r>
  <r>
    <d v="2023-11-04T00:00:00"/>
    <x v="1"/>
    <x v="0"/>
    <n v="18"/>
    <n v="426.3"/>
    <s v="Store A"/>
    <x v="0"/>
    <n v="0.15"/>
    <x v="3"/>
    <n v="6522.39"/>
    <x v="2"/>
    <m/>
    <n v="1"/>
    <s v="REG100437"/>
    <s v="Cust 6956"/>
    <n v="29.81"/>
    <x v="350"/>
    <d v="2023-11-10T00:00:00"/>
    <s v="Sophie"/>
  </r>
  <r>
    <d v="2024-06-15T00:00:00"/>
    <x v="0"/>
    <x v="2"/>
    <n v="1"/>
    <n v="498.35"/>
    <s v="Store B"/>
    <x v="1"/>
    <n v="0.1"/>
    <x v="1"/>
    <n v="448.51499999999999"/>
    <x v="0"/>
    <s v="FREESHIP"/>
    <n v="0"/>
    <s v="REG100438"/>
    <s v="Cust 8155"/>
    <n v="34.700000000000003"/>
    <x v="351"/>
    <d v="2024-06-22T00:00:00"/>
    <s v="Eric"/>
  </r>
  <r>
    <d v="2024-10-02T00:00:00"/>
    <x v="2"/>
    <x v="5"/>
    <n v="19"/>
    <n v="385.72"/>
    <s v="Store A"/>
    <x v="1"/>
    <n v="0.05"/>
    <x v="3"/>
    <n v="6962.2460000000001"/>
    <x v="4"/>
    <s v="SAVE10"/>
    <n v="1"/>
    <s v="REG100439"/>
    <s v="Cust 8852"/>
    <n v="12.46"/>
    <x v="352"/>
    <d v="2024-10-06T00:00:00"/>
    <s v="Ryan"/>
  </r>
  <r>
    <d v="2023-06-03T00:00:00"/>
    <x v="4"/>
    <x v="5"/>
    <n v="3"/>
    <n v="54.37"/>
    <s v="Store B"/>
    <x v="0"/>
    <n v="0.1"/>
    <x v="2"/>
    <n v="146.79900000000001"/>
    <x v="2"/>
    <s v="WINTER15"/>
    <n v="0"/>
    <s v="REG100440"/>
    <s v="Cust 2850"/>
    <n v="48.71"/>
    <x v="353"/>
    <d v="2023-06-13T00:00:00"/>
    <s v="Wendy"/>
  </r>
  <r>
    <d v="2023-09-10T00:00:00"/>
    <x v="0"/>
    <x v="1"/>
    <n v="6"/>
    <n v="471.74"/>
    <s v="Store C"/>
    <x v="1"/>
    <n v="0.15"/>
    <x v="3"/>
    <n v="2405.8739999999998"/>
    <x v="0"/>
    <m/>
    <n v="0"/>
    <s v="REG100441"/>
    <s v="Cust 9572"/>
    <n v="36.79"/>
    <x v="354"/>
    <d v="2023-09-18T00:00:00"/>
    <s v="Eric"/>
  </r>
  <r>
    <d v="2025-05-20T00:00:00"/>
    <x v="3"/>
    <x v="6"/>
    <n v="19"/>
    <n v="322.31"/>
    <s v="Store B"/>
    <x v="1"/>
    <n v="0.15"/>
    <x v="5"/>
    <n v="5205.3065000000006"/>
    <x v="4"/>
    <s v="FREESHIP"/>
    <n v="0"/>
    <s v="REG100442"/>
    <s v="Cust 6253"/>
    <n v="33.950000000000003"/>
    <x v="355"/>
    <d v="2025-05-22T00:00:00"/>
    <s v="Cameron"/>
  </r>
  <r>
    <d v="2023-09-24T00:00:00"/>
    <x v="2"/>
    <x v="5"/>
    <n v="13"/>
    <n v="115.86"/>
    <s v="Store A"/>
    <x v="0"/>
    <n v="0.1"/>
    <x v="4"/>
    <n v="1355.5619999999999"/>
    <x v="4"/>
    <m/>
    <n v="1"/>
    <s v="REG100443"/>
    <s v="Cust 4154"/>
    <n v="28.52"/>
    <x v="356"/>
    <d v="2023-10-03T00:00:00"/>
    <s v="Ryan"/>
  </r>
  <r>
    <d v="2025-03-29T00:00:00"/>
    <x v="0"/>
    <x v="5"/>
    <n v="18"/>
    <n v="398.26"/>
    <s v="Store B"/>
    <x v="1"/>
    <n v="0.1"/>
    <x v="5"/>
    <n v="6451.8120000000008"/>
    <x v="3"/>
    <m/>
    <n v="0"/>
    <s v="REG100444"/>
    <s v="Cust 2137"/>
    <n v="16.8"/>
    <x v="259"/>
    <d v="2025-04-04T00:00:00"/>
    <s v="Eric"/>
  </r>
  <r>
    <d v="2023-06-17T00:00:00"/>
    <x v="0"/>
    <x v="3"/>
    <n v="4"/>
    <n v="584.79999999999995"/>
    <s v="Store B"/>
    <x v="1"/>
    <n v="0.1"/>
    <x v="0"/>
    <n v="2105.2800000000002"/>
    <x v="0"/>
    <s v="FREESHIP"/>
    <n v="0"/>
    <s v="REG100445"/>
    <s v="Cust 8157"/>
    <n v="16.440000000000001"/>
    <x v="357"/>
    <d v="2023-06-25T00:00:00"/>
    <s v="Eric"/>
  </r>
  <r>
    <d v="2024-01-28T00:00:00"/>
    <x v="4"/>
    <x v="6"/>
    <n v="20"/>
    <n v="424.7"/>
    <s v="Store B"/>
    <x v="0"/>
    <n v="0.15"/>
    <x v="5"/>
    <n v="7219.9"/>
    <x v="0"/>
    <s v="FREESHIP"/>
    <n v="0"/>
    <s v="REG100446"/>
    <s v="Cust 4861"/>
    <n v="42.03"/>
    <x v="275"/>
    <d v="2024-02-05T00:00:00"/>
    <s v="Wendy"/>
  </r>
  <r>
    <d v="2023-03-14T00:00:00"/>
    <x v="3"/>
    <x v="3"/>
    <n v="16"/>
    <n v="179.22"/>
    <s v="Store D"/>
    <x v="1"/>
    <n v="0.1"/>
    <x v="1"/>
    <n v="2580.768"/>
    <x v="0"/>
    <s v="WINTER15"/>
    <n v="0"/>
    <s v="REG100447"/>
    <s v="Cust 7493"/>
    <n v="45.99"/>
    <x v="358"/>
    <d v="2023-03-17T00:00:00"/>
    <s v="Cameron"/>
  </r>
  <r>
    <d v="2025-01-09T00:00:00"/>
    <x v="0"/>
    <x v="0"/>
    <n v="12"/>
    <n v="148.66"/>
    <s v="Store A"/>
    <x v="0"/>
    <n v="0"/>
    <x v="4"/>
    <n v="1783.92"/>
    <x v="0"/>
    <m/>
    <n v="1"/>
    <s v="REG100448"/>
    <s v="Cust 7073"/>
    <n v="27.16"/>
    <x v="359"/>
    <d v="2025-01-17T00:00:00"/>
    <s v="Eric"/>
  </r>
  <r>
    <d v="2025-03-30T00:00:00"/>
    <x v="3"/>
    <x v="1"/>
    <n v="16"/>
    <n v="460.43"/>
    <s v="Store B"/>
    <x v="0"/>
    <n v="0.15"/>
    <x v="5"/>
    <n v="6261.848"/>
    <x v="0"/>
    <s v="WINTER15"/>
    <n v="0"/>
    <s v="REG100449"/>
    <s v="Cust 9085"/>
    <n v="20.38"/>
    <x v="360"/>
    <d v="2025-04-06T00:00:00"/>
    <s v="Cameron"/>
  </r>
  <r>
    <d v="2023-10-23T00:00:00"/>
    <x v="0"/>
    <x v="5"/>
    <n v="5"/>
    <n v="334.37"/>
    <s v="Store B"/>
    <x v="1"/>
    <n v="0.05"/>
    <x v="3"/>
    <n v="1588.2574999999999"/>
    <x v="2"/>
    <m/>
    <n v="0"/>
    <s v="REG100450"/>
    <s v="Cust 3247"/>
    <n v="32.130000000000003"/>
    <x v="25"/>
    <d v="2023-10-28T00:00:00"/>
    <s v="Eric"/>
  </r>
  <r>
    <d v="2025-06-08T00:00:00"/>
    <x v="4"/>
    <x v="4"/>
    <n v="3"/>
    <n v="599.72"/>
    <s v="Store D"/>
    <x v="1"/>
    <n v="0.15"/>
    <x v="1"/>
    <n v="1529.2860000000001"/>
    <x v="0"/>
    <s v="WINTER15"/>
    <n v="1"/>
    <s v="REG100451"/>
    <s v="Cust 8504"/>
    <n v="14.93"/>
    <x v="119"/>
    <d v="2025-06-14T00:00:00"/>
    <s v="Wendy"/>
  </r>
  <r>
    <d v="2024-02-26T00:00:00"/>
    <x v="4"/>
    <x v="4"/>
    <n v="11"/>
    <n v="389.84"/>
    <s v="Store D"/>
    <x v="0"/>
    <n v="0"/>
    <x v="1"/>
    <n v="4288.24"/>
    <x v="1"/>
    <s v="SAVE10"/>
    <n v="1"/>
    <s v="REG100452"/>
    <s v="Cust 4164"/>
    <n v="10.24"/>
    <x v="361"/>
    <d v="2024-02-29T00:00:00"/>
    <s v="Wendy"/>
  </r>
  <r>
    <d v="2024-10-30T00:00:00"/>
    <x v="0"/>
    <x v="3"/>
    <n v="11"/>
    <n v="445.75"/>
    <s v="Store A"/>
    <x v="0"/>
    <n v="0.1"/>
    <x v="2"/>
    <n v="4412.9250000000002"/>
    <x v="0"/>
    <s v="SAVE10"/>
    <n v="0"/>
    <s v="REG100453"/>
    <s v="Cust 9592"/>
    <n v="18.07"/>
    <x v="362"/>
    <d v="2024-11-07T00:00:00"/>
    <s v="Eric"/>
  </r>
  <r>
    <d v="2024-08-19T00:00:00"/>
    <x v="1"/>
    <x v="0"/>
    <n v="18"/>
    <n v="96.84"/>
    <s v="Store A"/>
    <x v="0"/>
    <n v="0.15"/>
    <x v="2"/>
    <n v="1481.652"/>
    <x v="4"/>
    <s v="SAVE10"/>
    <n v="1"/>
    <s v="REG100454"/>
    <s v="Cust 7450"/>
    <n v="8.1"/>
    <x v="363"/>
    <d v="2024-08-23T00:00:00"/>
    <s v="Sophie"/>
  </r>
  <r>
    <d v="2023-07-30T00:00:00"/>
    <x v="3"/>
    <x v="3"/>
    <n v="1"/>
    <n v="528.30999999999995"/>
    <s v="Store C"/>
    <x v="0"/>
    <n v="0.1"/>
    <x v="1"/>
    <n v="475.47899999999998"/>
    <x v="0"/>
    <s v="FREESHIP"/>
    <n v="0"/>
    <s v="REG100455"/>
    <s v="Cust 4186"/>
    <n v="24.55"/>
    <x v="364"/>
    <d v="2023-08-09T00:00:00"/>
    <s v="Cameron"/>
  </r>
  <r>
    <d v="2024-08-13T00:00:00"/>
    <x v="2"/>
    <x v="4"/>
    <n v="16"/>
    <n v="64.03"/>
    <s v="Store A"/>
    <x v="0"/>
    <n v="0"/>
    <x v="3"/>
    <n v="1024.48"/>
    <x v="1"/>
    <s v="WINTER15"/>
    <n v="1"/>
    <s v="REG100456"/>
    <s v="Cust 3305"/>
    <n v="16.71"/>
    <x v="365"/>
    <d v="2024-08-23T00:00:00"/>
    <s v="Ryan"/>
  </r>
  <r>
    <d v="2023-11-04T00:00:00"/>
    <x v="2"/>
    <x v="6"/>
    <n v="13"/>
    <n v="179.37"/>
    <s v="Store A"/>
    <x v="1"/>
    <n v="0.05"/>
    <x v="0"/>
    <n v="2215.2195000000002"/>
    <x v="0"/>
    <s v="FREESHIP"/>
    <n v="0"/>
    <s v="REG100457"/>
    <s v="Cust 9768"/>
    <n v="35.28"/>
    <x v="350"/>
    <d v="2023-11-12T00:00:00"/>
    <s v="Ryan"/>
  </r>
  <r>
    <d v="2025-06-05T00:00:00"/>
    <x v="0"/>
    <x v="6"/>
    <n v="19"/>
    <n v="491.15"/>
    <s v="Store C"/>
    <x v="1"/>
    <n v="0"/>
    <x v="2"/>
    <n v="9331.85"/>
    <x v="0"/>
    <m/>
    <n v="0"/>
    <s v="REG100458"/>
    <s v="Cust 1179"/>
    <n v="48.68"/>
    <x v="20"/>
    <d v="2025-06-15T00:00:00"/>
    <s v="Eric"/>
  </r>
  <r>
    <d v="2023-06-23T00:00:00"/>
    <x v="2"/>
    <x v="6"/>
    <n v="5"/>
    <n v="360.34"/>
    <s v="Store C"/>
    <x v="0"/>
    <n v="0"/>
    <x v="3"/>
    <n v="1801.7"/>
    <x v="1"/>
    <m/>
    <n v="0"/>
    <s v="REG100459"/>
    <s v="Cust 2546"/>
    <n v="33.76"/>
    <x v="366"/>
    <d v="2023-06-28T00:00:00"/>
    <s v="Ryan"/>
  </r>
  <r>
    <d v="2024-09-21T00:00:00"/>
    <x v="1"/>
    <x v="0"/>
    <n v="20"/>
    <n v="296.8"/>
    <s v="Store A"/>
    <x v="1"/>
    <n v="0.1"/>
    <x v="2"/>
    <n v="5342.4000000000005"/>
    <x v="1"/>
    <m/>
    <n v="0"/>
    <s v="REG100460"/>
    <s v="Cust 2672"/>
    <n v="19.57"/>
    <x v="367"/>
    <d v="2024-09-28T00:00:00"/>
    <s v="Sophie"/>
  </r>
  <r>
    <d v="2024-01-01T00:00:00"/>
    <x v="1"/>
    <x v="2"/>
    <n v="3"/>
    <n v="599.41999999999996"/>
    <s v="Store A"/>
    <x v="0"/>
    <n v="0.1"/>
    <x v="5"/>
    <n v="1618.434"/>
    <x v="0"/>
    <s v="SAVE10"/>
    <n v="0"/>
    <s v="REG100461"/>
    <s v="Cust 3394"/>
    <n v="48.02"/>
    <x v="223"/>
    <d v="2024-01-03T00:00:00"/>
    <s v="Sophie"/>
  </r>
  <r>
    <d v="2025-01-02T00:00:00"/>
    <x v="4"/>
    <x v="0"/>
    <n v="1"/>
    <n v="374.33"/>
    <s v="Store B"/>
    <x v="0"/>
    <n v="0"/>
    <x v="3"/>
    <n v="374.33"/>
    <x v="2"/>
    <s v="FREESHIP"/>
    <n v="0"/>
    <s v="REG100462"/>
    <s v="Cust 1649"/>
    <n v="33.31"/>
    <x v="368"/>
    <d v="2025-01-12T00:00:00"/>
    <s v="Wendy"/>
  </r>
  <r>
    <d v="2024-03-14T00:00:00"/>
    <x v="2"/>
    <x v="2"/>
    <n v="13"/>
    <n v="588.79999999999995"/>
    <s v="Store D"/>
    <x v="0"/>
    <n v="0.15"/>
    <x v="2"/>
    <n v="6506.24"/>
    <x v="4"/>
    <s v="SAVE10"/>
    <n v="0"/>
    <s v="REG100463"/>
    <s v="Cust 6994"/>
    <n v="45.03"/>
    <x v="47"/>
    <d v="2024-03-21T00:00:00"/>
    <s v="Ryan"/>
  </r>
  <r>
    <d v="2024-05-04T00:00:00"/>
    <x v="4"/>
    <x v="4"/>
    <n v="13"/>
    <n v="198.44"/>
    <s v="Store D"/>
    <x v="0"/>
    <n v="0"/>
    <x v="3"/>
    <n v="2579.7199999999998"/>
    <x v="4"/>
    <s v="SAVE10"/>
    <n v="1"/>
    <s v="REG100464"/>
    <s v="Cust 9879"/>
    <n v="31.51"/>
    <x v="369"/>
    <d v="2024-05-09T00:00:00"/>
    <s v="Wendy"/>
  </r>
  <r>
    <d v="2025-02-27T00:00:00"/>
    <x v="1"/>
    <x v="6"/>
    <n v="12"/>
    <n v="384.2"/>
    <s v="Store A"/>
    <x v="1"/>
    <n v="0"/>
    <x v="0"/>
    <n v="4610.3999999999996"/>
    <x v="4"/>
    <s v="FREESHIP"/>
    <n v="0"/>
    <s v="REG100465"/>
    <s v="Cust 9069"/>
    <n v="38.99"/>
    <x v="370"/>
    <d v="2025-03-02T00:00:00"/>
    <s v="Sophie"/>
  </r>
  <r>
    <d v="2024-11-13T00:00:00"/>
    <x v="3"/>
    <x v="1"/>
    <n v="4"/>
    <n v="475.49"/>
    <s v="Store B"/>
    <x v="0"/>
    <n v="0.15"/>
    <x v="2"/>
    <n v="1616.6659999999999"/>
    <x v="4"/>
    <s v="WINTER15"/>
    <n v="0"/>
    <s v="REG100466"/>
    <s v="Cust 3712"/>
    <n v="11.6"/>
    <x v="371"/>
    <d v="2024-11-17T00:00:00"/>
    <s v="Cameron"/>
  </r>
  <r>
    <d v="2023-10-31T00:00:00"/>
    <x v="4"/>
    <x v="6"/>
    <n v="6"/>
    <n v="202.97"/>
    <s v="Store C"/>
    <x v="1"/>
    <n v="0.1"/>
    <x v="0"/>
    <n v="1096.038"/>
    <x v="1"/>
    <s v="WINTER15"/>
    <n v="0"/>
    <s v="REG100467"/>
    <s v="Cust 3829"/>
    <n v="43.55"/>
    <x v="372"/>
    <d v="2023-11-10T00:00:00"/>
    <s v="Wendy"/>
  </r>
  <r>
    <d v="2023-12-19T00:00:00"/>
    <x v="3"/>
    <x v="5"/>
    <n v="18"/>
    <n v="135.22999999999999"/>
    <s v="Store C"/>
    <x v="0"/>
    <n v="0"/>
    <x v="4"/>
    <n v="2434.14"/>
    <x v="0"/>
    <s v="WINTER15"/>
    <n v="1"/>
    <s v="REG100468"/>
    <s v="Cust 1623"/>
    <n v="46.1"/>
    <x v="373"/>
    <d v="2023-12-24T00:00:00"/>
    <s v="Cameron"/>
  </r>
  <r>
    <d v="2023-11-27T00:00:00"/>
    <x v="1"/>
    <x v="5"/>
    <n v="20"/>
    <n v="356.4"/>
    <s v="Store C"/>
    <x v="0"/>
    <n v="0.05"/>
    <x v="4"/>
    <n v="6771.5999999999995"/>
    <x v="4"/>
    <s v="FREESHIP"/>
    <n v="1"/>
    <s v="REG100469"/>
    <s v="Cust 3532"/>
    <n v="26.7"/>
    <x v="165"/>
    <d v="2023-12-03T00:00:00"/>
    <s v="Sophie"/>
  </r>
  <r>
    <d v="2023-08-15T00:00:00"/>
    <x v="0"/>
    <x v="0"/>
    <n v="3"/>
    <n v="294.72000000000003"/>
    <s v="Store C"/>
    <x v="0"/>
    <n v="0.05"/>
    <x v="1"/>
    <n v="839.952"/>
    <x v="4"/>
    <s v="SAVE10"/>
    <n v="0"/>
    <s v="REG100470"/>
    <s v="Cust 4712"/>
    <n v="45.33"/>
    <x v="374"/>
    <d v="2023-08-18T00:00:00"/>
    <s v="Eric"/>
  </r>
  <r>
    <d v="2023-01-16T00:00:00"/>
    <x v="4"/>
    <x v="1"/>
    <n v="20"/>
    <n v="553.85"/>
    <s v="Store A"/>
    <x v="1"/>
    <n v="0"/>
    <x v="2"/>
    <n v="11077"/>
    <x v="4"/>
    <s v="WINTER15"/>
    <n v="0"/>
    <s v="REG100471"/>
    <s v="Cust 6211"/>
    <n v="33.21"/>
    <x v="375"/>
    <d v="2023-01-24T00:00:00"/>
    <s v="Wendy"/>
  </r>
  <r>
    <d v="2025-02-28T00:00:00"/>
    <x v="3"/>
    <x v="5"/>
    <n v="13"/>
    <n v="81.17"/>
    <s v="Store D"/>
    <x v="1"/>
    <n v="0.1"/>
    <x v="2"/>
    <n v="949.68900000000008"/>
    <x v="4"/>
    <s v="SAVE10"/>
    <n v="1"/>
    <s v="REG100472"/>
    <s v="Cust 1222"/>
    <n v="48.21"/>
    <x v="376"/>
    <d v="2025-03-08T00:00:00"/>
    <s v="Cameron"/>
  </r>
  <r>
    <d v="2023-11-28T00:00:00"/>
    <x v="4"/>
    <x v="1"/>
    <n v="2"/>
    <n v="532.51"/>
    <s v="Store B"/>
    <x v="0"/>
    <n v="0"/>
    <x v="3"/>
    <n v="1065.02"/>
    <x v="2"/>
    <s v="WINTER15"/>
    <n v="1"/>
    <s v="REG100473"/>
    <s v="Cust 6208"/>
    <n v="49.67"/>
    <x v="206"/>
    <d v="2023-12-01T00:00:00"/>
    <s v="Wendy"/>
  </r>
  <r>
    <d v="2023-12-04T00:00:00"/>
    <x v="4"/>
    <x v="6"/>
    <n v="1"/>
    <n v="268.19"/>
    <s v="Store B"/>
    <x v="0"/>
    <n v="0.1"/>
    <x v="3"/>
    <n v="241.37100000000001"/>
    <x v="1"/>
    <s v="WINTER15"/>
    <n v="0"/>
    <s v="REG100474"/>
    <s v="Cust 5942"/>
    <n v="9.48"/>
    <x v="377"/>
    <d v="2023-12-13T00:00:00"/>
    <s v="Wendy"/>
  </r>
  <r>
    <d v="2024-06-21T00:00:00"/>
    <x v="1"/>
    <x v="6"/>
    <n v="17"/>
    <n v="432.65"/>
    <s v="Store A"/>
    <x v="1"/>
    <n v="0.15"/>
    <x v="2"/>
    <n v="6251.7924999999996"/>
    <x v="4"/>
    <s v="FREESHIP"/>
    <n v="0"/>
    <s v="REG100475"/>
    <s v="Cust 1745"/>
    <n v="18.850000000000001"/>
    <x v="378"/>
    <d v="2024-06-29T00:00:00"/>
    <s v="Sophie"/>
  </r>
  <r>
    <d v="2025-03-17T00:00:00"/>
    <x v="0"/>
    <x v="2"/>
    <n v="14"/>
    <n v="123.04"/>
    <s v="Store A"/>
    <x v="0"/>
    <n v="0.1"/>
    <x v="4"/>
    <n v="1550.3040000000001"/>
    <x v="4"/>
    <s v="WINTER15"/>
    <n v="1"/>
    <s v="REG100476"/>
    <s v="Cust 2679"/>
    <n v="43.28"/>
    <x v="253"/>
    <d v="2025-03-26T00:00:00"/>
    <s v="Eric"/>
  </r>
  <r>
    <d v="2023-08-17T00:00:00"/>
    <x v="3"/>
    <x v="2"/>
    <n v="16"/>
    <n v="454.54"/>
    <s v="Store B"/>
    <x v="1"/>
    <n v="0.1"/>
    <x v="5"/>
    <n v="6545.3760000000002"/>
    <x v="0"/>
    <s v="FREESHIP"/>
    <n v="0"/>
    <s v="REG100477"/>
    <s v="Cust 9907"/>
    <n v="20.55"/>
    <x v="379"/>
    <d v="2023-08-19T00:00:00"/>
    <s v="Cameron"/>
  </r>
  <r>
    <d v="2023-08-30T00:00:00"/>
    <x v="3"/>
    <x v="4"/>
    <n v="11"/>
    <n v="414.58"/>
    <s v="Store D"/>
    <x v="0"/>
    <n v="0.05"/>
    <x v="4"/>
    <n v="4332.3609999999999"/>
    <x v="4"/>
    <s v="WINTER15"/>
    <n v="0"/>
    <s v="REG100478"/>
    <s v="Cust 5750"/>
    <n v="25.33"/>
    <x v="286"/>
    <d v="2023-09-05T00:00:00"/>
    <s v="Cameron"/>
  </r>
  <r>
    <d v="2025-06-16T00:00:00"/>
    <x v="0"/>
    <x v="1"/>
    <n v="9"/>
    <n v="352.91"/>
    <s v="Store B"/>
    <x v="0"/>
    <n v="0.1"/>
    <x v="5"/>
    <n v="2858.5709999999999"/>
    <x v="4"/>
    <s v="FREESHIP"/>
    <n v="0"/>
    <s v="REG100479"/>
    <s v="Cust 5717"/>
    <n v="30.57"/>
    <x v="26"/>
    <d v="2025-06-18T00:00:00"/>
    <s v="Eric"/>
  </r>
  <r>
    <d v="2023-06-29T00:00:00"/>
    <x v="2"/>
    <x v="3"/>
    <n v="10"/>
    <n v="126.46"/>
    <s v="Store A"/>
    <x v="1"/>
    <n v="0.1"/>
    <x v="0"/>
    <n v="1138.1400000000001"/>
    <x v="0"/>
    <s v="WINTER15"/>
    <n v="0"/>
    <s v="REG100480"/>
    <s v="Cust 7995"/>
    <n v="26.96"/>
    <x v="380"/>
    <d v="2023-07-09T00:00:00"/>
    <s v="Ryan"/>
  </r>
  <r>
    <d v="2023-08-13T00:00:00"/>
    <x v="2"/>
    <x v="4"/>
    <n v="7"/>
    <n v="125.02"/>
    <s v="Store D"/>
    <x v="0"/>
    <n v="0"/>
    <x v="3"/>
    <n v="875.14"/>
    <x v="2"/>
    <s v="FREESHIP"/>
    <n v="0"/>
    <s v="REG100481"/>
    <s v="Cust 5572"/>
    <n v="12.45"/>
    <x v="381"/>
    <d v="2023-08-20T00:00:00"/>
    <s v="Ryan"/>
  </r>
  <r>
    <d v="2024-04-29T00:00:00"/>
    <x v="4"/>
    <x v="5"/>
    <n v="20"/>
    <n v="367.24"/>
    <s v="Store A"/>
    <x v="0"/>
    <n v="0.05"/>
    <x v="3"/>
    <n v="6977.5599999999986"/>
    <x v="1"/>
    <s v="FREESHIP"/>
    <n v="0"/>
    <s v="REG100482"/>
    <s v="Cust 1721"/>
    <n v="45.67"/>
    <x v="131"/>
    <d v="2024-05-07T00:00:00"/>
    <s v="Wendy"/>
  </r>
  <r>
    <d v="2023-07-15T00:00:00"/>
    <x v="4"/>
    <x v="4"/>
    <n v="8"/>
    <n v="432.12"/>
    <s v="Store B"/>
    <x v="1"/>
    <n v="0"/>
    <x v="4"/>
    <n v="3456.96"/>
    <x v="2"/>
    <s v="WINTER15"/>
    <n v="0"/>
    <s v="REG100483"/>
    <s v="Cust 2641"/>
    <n v="42.1"/>
    <x v="382"/>
    <d v="2023-07-25T00:00:00"/>
    <s v="Wendy"/>
  </r>
  <r>
    <d v="2025-01-17T00:00:00"/>
    <x v="2"/>
    <x v="5"/>
    <n v="3"/>
    <n v="13.33"/>
    <s v="Store D"/>
    <x v="1"/>
    <n v="0.1"/>
    <x v="0"/>
    <n v="35.991"/>
    <x v="4"/>
    <s v="SAVE10"/>
    <n v="0"/>
    <s v="REG100484"/>
    <s v="Cust 9769"/>
    <n v="17.62"/>
    <x v="50"/>
    <d v="2025-01-23T00:00:00"/>
    <s v="Ryan"/>
  </r>
  <r>
    <d v="2025-02-21T00:00:00"/>
    <x v="0"/>
    <x v="6"/>
    <n v="13"/>
    <n v="105.93"/>
    <s v="Store C"/>
    <x v="1"/>
    <n v="0"/>
    <x v="5"/>
    <n v="1377.09"/>
    <x v="3"/>
    <s v="FREESHIP"/>
    <n v="0"/>
    <s v="REG100485"/>
    <s v="Cust 1718"/>
    <n v="38.96"/>
    <x v="383"/>
    <d v="2025-03-03T00:00:00"/>
    <s v="Eric"/>
  </r>
  <r>
    <d v="2023-07-19T00:00:00"/>
    <x v="4"/>
    <x v="4"/>
    <n v="20"/>
    <n v="526.54999999999995"/>
    <s v="Store A"/>
    <x v="0"/>
    <n v="0"/>
    <x v="1"/>
    <n v="10531"/>
    <x v="3"/>
    <s v="FREESHIP"/>
    <n v="1"/>
    <s v="REG100486"/>
    <s v="Cust 1210"/>
    <n v="25.64"/>
    <x v="384"/>
    <d v="2023-07-26T00:00:00"/>
    <s v="Wendy"/>
  </r>
  <r>
    <d v="2024-09-29T00:00:00"/>
    <x v="4"/>
    <x v="1"/>
    <n v="11"/>
    <n v="339.78"/>
    <s v="Store A"/>
    <x v="1"/>
    <n v="0.05"/>
    <x v="4"/>
    <n v="3550.701"/>
    <x v="3"/>
    <s v="WINTER15"/>
    <n v="1"/>
    <s v="REG100487"/>
    <s v="Cust 7710"/>
    <n v="11.56"/>
    <x v="385"/>
    <d v="2024-10-06T00:00:00"/>
    <s v="Wendy"/>
  </r>
  <r>
    <d v="2024-10-17T00:00:00"/>
    <x v="0"/>
    <x v="0"/>
    <n v="10"/>
    <n v="91.75"/>
    <s v="Store D"/>
    <x v="0"/>
    <n v="0.15"/>
    <x v="2"/>
    <n v="779.875"/>
    <x v="4"/>
    <s v="WINTER15"/>
    <n v="0"/>
    <s v="REG100488"/>
    <s v="Cust 1428"/>
    <n v="37.270000000000003"/>
    <x v="386"/>
    <d v="2024-10-21T00:00:00"/>
    <s v="Eric"/>
  </r>
  <r>
    <d v="2025-06-11T00:00:00"/>
    <x v="0"/>
    <x v="1"/>
    <n v="15"/>
    <n v="13.66"/>
    <s v="Store B"/>
    <x v="1"/>
    <n v="0.1"/>
    <x v="1"/>
    <n v="184.41"/>
    <x v="3"/>
    <s v="FREESHIP"/>
    <n v="0"/>
    <s v="REG100489"/>
    <s v="Cust 2810"/>
    <n v="38.04"/>
    <x v="54"/>
    <d v="2025-06-17T00:00:00"/>
    <s v="Eric"/>
  </r>
  <r>
    <d v="2024-01-19T00:00:00"/>
    <x v="4"/>
    <x v="2"/>
    <n v="6"/>
    <n v="148.22999999999999"/>
    <s v="Store B"/>
    <x v="1"/>
    <n v="0.1"/>
    <x v="0"/>
    <n v="800.44199999999989"/>
    <x v="2"/>
    <s v="FREESHIP"/>
    <n v="0"/>
    <s v="REG100490"/>
    <s v="Cust 2234"/>
    <n v="19.579999999999998"/>
    <x v="387"/>
    <d v="2024-01-29T00:00:00"/>
    <s v="Wendy"/>
  </r>
  <r>
    <d v="2023-12-03T00:00:00"/>
    <x v="0"/>
    <x v="3"/>
    <n v="11"/>
    <n v="495.03"/>
    <s v="Store D"/>
    <x v="0"/>
    <n v="0.15"/>
    <x v="2"/>
    <n v="4628.5304999999998"/>
    <x v="4"/>
    <s v="WINTER15"/>
    <n v="0"/>
    <s v="REG100491"/>
    <s v="Cust 9602"/>
    <n v="27.37"/>
    <x v="388"/>
    <d v="2023-12-05T00:00:00"/>
    <s v="Eric"/>
  </r>
  <r>
    <d v="2024-06-19T00:00:00"/>
    <x v="3"/>
    <x v="3"/>
    <n v="6"/>
    <n v="247.2"/>
    <s v="Store A"/>
    <x v="0"/>
    <n v="0.05"/>
    <x v="4"/>
    <n v="1409.04"/>
    <x v="2"/>
    <s v="FREESHIP"/>
    <n v="0"/>
    <s v="REG100492"/>
    <s v="Cust 2546"/>
    <n v="18.75"/>
    <x v="389"/>
    <d v="2024-06-27T00:00:00"/>
    <s v="Cameron"/>
  </r>
  <r>
    <d v="2024-10-16T00:00:00"/>
    <x v="4"/>
    <x v="5"/>
    <n v="19"/>
    <n v="207.45"/>
    <s v="Store C"/>
    <x v="1"/>
    <n v="0.05"/>
    <x v="5"/>
    <n v="3744.4724999999989"/>
    <x v="3"/>
    <s v="SAVE10"/>
    <n v="0"/>
    <s v="REG100493"/>
    <s v="Cust 5032"/>
    <n v="11.5"/>
    <x v="8"/>
    <d v="2024-10-21T00:00:00"/>
    <s v="Wendy"/>
  </r>
  <r>
    <d v="2025-01-23T00:00:00"/>
    <x v="0"/>
    <x v="0"/>
    <n v="2"/>
    <n v="370.78"/>
    <s v="Store D"/>
    <x v="0"/>
    <n v="0.15"/>
    <x v="4"/>
    <n v="630.32599999999991"/>
    <x v="0"/>
    <s v="FREESHIP"/>
    <n v="0"/>
    <s v="REG100494"/>
    <s v="Cust 4297"/>
    <n v="20.45"/>
    <x v="187"/>
    <d v="2025-01-27T00:00:00"/>
    <s v="Eric"/>
  </r>
  <r>
    <d v="2023-10-02T00:00:00"/>
    <x v="3"/>
    <x v="0"/>
    <n v="9"/>
    <n v="146.72"/>
    <s v="Store A"/>
    <x v="0"/>
    <n v="0.1"/>
    <x v="4"/>
    <n v="1188.432"/>
    <x v="2"/>
    <m/>
    <n v="0"/>
    <s v="REG100495"/>
    <s v="Cust 6944"/>
    <n v="10.45"/>
    <x v="390"/>
    <d v="2023-10-10T00:00:00"/>
    <s v="Cameron"/>
  </r>
  <r>
    <d v="2023-11-05T00:00:00"/>
    <x v="0"/>
    <x v="2"/>
    <n v="12"/>
    <n v="159.85"/>
    <s v="Store D"/>
    <x v="1"/>
    <n v="0.1"/>
    <x v="1"/>
    <n v="1726.38"/>
    <x v="4"/>
    <s v="WINTER15"/>
    <n v="0"/>
    <s v="REG100496"/>
    <s v="Cust 4136"/>
    <n v="32.61"/>
    <x v="321"/>
    <d v="2023-11-07T00:00:00"/>
    <s v="Eric"/>
  </r>
  <r>
    <d v="2023-06-18T00:00:00"/>
    <x v="1"/>
    <x v="6"/>
    <n v="13"/>
    <n v="181.68"/>
    <s v="Store C"/>
    <x v="0"/>
    <n v="0.05"/>
    <x v="4"/>
    <n v="2243.748"/>
    <x v="1"/>
    <s v="SAVE10"/>
    <n v="0"/>
    <s v="REG100497"/>
    <s v="Cust 7460"/>
    <n v="14.69"/>
    <x v="391"/>
    <d v="2023-06-23T00:00:00"/>
    <s v="Sophie"/>
  </r>
  <r>
    <d v="2024-07-15T00:00:00"/>
    <x v="3"/>
    <x v="1"/>
    <n v="16"/>
    <n v="34.159999999999997"/>
    <s v="Store A"/>
    <x v="1"/>
    <n v="0.15"/>
    <x v="5"/>
    <n v="464.57600000000002"/>
    <x v="4"/>
    <s v="SAVE10"/>
    <n v="0"/>
    <s v="REG100498"/>
    <s v="Cust 3960"/>
    <n v="36.33"/>
    <x v="236"/>
    <d v="2024-07-21T00:00:00"/>
    <s v="Cameron"/>
  </r>
  <r>
    <d v="2024-06-14T00:00:00"/>
    <x v="3"/>
    <x v="0"/>
    <n v="2"/>
    <n v="287.43"/>
    <s v="Store C"/>
    <x v="0"/>
    <n v="0.1"/>
    <x v="4"/>
    <n v="517.37400000000002"/>
    <x v="4"/>
    <s v="WINTER15"/>
    <n v="0"/>
    <s v="REG100499"/>
    <s v="Cust 5530"/>
    <n v="25.34"/>
    <x v="392"/>
    <d v="2024-06-23T00:00:00"/>
    <s v="Cameron"/>
  </r>
  <r>
    <d v="2024-04-05T00:00:00"/>
    <x v="0"/>
    <x v="4"/>
    <n v="15"/>
    <n v="405.95"/>
    <s v="Store D"/>
    <x v="0"/>
    <n v="0.15"/>
    <x v="0"/>
    <n v="5175.8625000000002"/>
    <x v="1"/>
    <m/>
    <n v="0"/>
    <s v="REG100500"/>
    <s v="Cust 3160"/>
    <n v="32.04"/>
    <x v="393"/>
    <d v="2024-04-10T00:00:00"/>
    <s v="Eric"/>
  </r>
  <r>
    <d v="2023-02-27T00:00:00"/>
    <x v="2"/>
    <x v="0"/>
    <n v="1"/>
    <n v="430.61"/>
    <s v="Store B"/>
    <x v="1"/>
    <n v="0"/>
    <x v="1"/>
    <n v="430.61"/>
    <x v="1"/>
    <s v="WINTER15"/>
    <n v="0"/>
    <s v="REG100501"/>
    <s v="Cust 9641"/>
    <n v="14.53"/>
    <x v="274"/>
    <d v="2023-03-07T00:00:00"/>
    <s v="Ryan"/>
  </r>
  <r>
    <d v="2023-07-31T00:00:00"/>
    <x v="4"/>
    <x v="0"/>
    <n v="5"/>
    <n v="508.05"/>
    <s v="Store D"/>
    <x v="1"/>
    <n v="0"/>
    <x v="2"/>
    <n v="2540.25"/>
    <x v="2"/>
    <s v="WINTER15"/>
    <n v="1"/>
    <s v="REG100502"/>
    <s v="Cust 9742"/>
    <n v="35.630000000000003"/>
    <x v="65"/>
    <d v="2023-08-09T00:00:00"/>
    <s v="Wendy"/>
  </r>
  <r>
    <d v="2023-03-03T00:00:00"/>
    <x v="4"/>
    <x v="0"/>
    <n v="13"/>
    <n v="522.97"/>
    <s v="Store C"/>
    <x v="1"/>
    <n v="0.15"/>
    <x v="3"/>
    <n v="5778.8185000000003"/>
    <x v="3"/>
    <s v="FREESHIP"/>
    <n v="0"/>
    <s v="REG100503"/>
    <s v="Cust 1144"/>
    <n v="33.9"/>
    <x v="21"/>
    <d v="2023-03-10T00:00:00"/>
    <s v="Wendy"/>
  </r>
  <r>
    <d v="2023-04-26T00:00:00"/>
    <x v="1"/>
    <x v="0"/>
    <n v="17"/>
    <n v="260.25"/>
    <s v="Store D"/>
    <x v="0"/>
    <n v="0.1"/>
    <x v="2"/>
    <n v="3981.8249999999998"/>
    <x v="2"/>
    <s v="SAVE10"/>
    <n v="0"/>
    <s v="REG100504"/>
    <s v="Cust 2936"/>
    <n v="23.26"/>
    <x v="394"/>
    <d v="2023-04-28T00:00:00"/>
    <s v="Sophie"/>
  </r>
  <r>
    <d v="2024-10-19T00:00:00"/>
    <x v="0"/>
    <x v="1"/>
    <n v="6"/>
    <n v="549.21"/>
    <s v="Store B"/>
    <x v="1"/>
    <n v="0.1"/>
    <x v="0"/>
    <n v="2965.7339999999999"/>
    <x v="2"/>
    <s v="WINTER15"/>
    <n v="1"/>
    <s v="REG100505"/>
    <s v="Cust 3035"/>
    <n v="12.29"/>
    <x v="272"/>
    <d v="2024-10-27T00:00:00"/>
    <s v="Eric"/>
  </r>
  <r>
    <d v="2024-06-30T00:00:00"/>
    <x v="3"/>
    <x v="6"/>
    <n v="17"/>
    <n v="472.33"/>
    <s v="Store C"/>
    <x v="1"/>
    <n v="0.15"/>
    <x v="3"/>
    <n v="6825.1684999999998"/>
    <x v="3"/>
    <s v="WINTER15"/>
    <n v="0"/>
    <s v="REG100506"/>
    <s v="Cust 1717"/>
    <n v="22.63"/>
    <x v="261"/>
    <d v="2024-07-04T00:00:00"/>
    <s v="Cameron"/>
  </r>
  <r>
    <d v="2024-10-11T00:00:00"/>
    <x v="4"/>
    <x v="0"/>
    <n v="9"/>
    <n v="596.83000000000004"/>
    <s v="Store A"/>
    <x v="1"/>
    <n v="0"/>
    <x v="0"/>
    <n v="5371.47"/>
    <x v="4"/>
    <s v="WINTER15"/>
    <n v="0"/>
    <s v="REG100507"/>
    <s v="Cust 4456"/>
    <n v="6.43"/>
    <x v="395"/>
    <d v="2024-10-19T00:00:00"/>
    <s v="Wendy"/>
  </r>
  <r>
    <d v="2025-06-14T00:00:00"/>
    <x v="3"/>
    <x v="4"/>
    <n v="15"/>
    <n v="154.04"/>
    <s v="Store D"/>
    <x v="1"/>
    <n v="0.1"/>
    <x v="1"/>
    <n v="2079.54"/>
    <x v="4"/>
    <s v="FREESHIP"/>
    <n v="1"/>
    <s v="REG100508"/>
    <s v="Cust 6435"/>
    <n v="24.53"/>
    <x v="396"/>
    <d v="2025-06-23T00:00:00"/>
    <s v="Cameron"/>
  </r>
  <r>
    <d v="2024-12-22T00:00:00"/>
    <x v="0"/>
    <x v="0"/>
    <n v="18"/>
    <n v="500.44"/>
    <s v="Store D"/>
    <x v="0"/>
    <n v="0.1"/>
    <x v="5"/>
    <n v="8107.1280000000006"/>
    <x v="2"/>
    <m/>
    <n v="0"/>
    <s v="REG100509"/>
    <s v="Cust 9352"/>
    <n v="8.8699999999999992"/>
    <x v="397"/>
    <d v="2024-12-30T00:00:00"/>
    <s v="Eric"/>
  </r>
  <r>
    <d v="2024-04-22T00:00:00"/>
    <x v="4"/>
    <x v="5"/>
    <n v="5"/>
    <n v="382.17"/>
    <s v="Store C"/>
    <x v="0"/>
    <n v="0"/>
    <x v="4"/>
    <n v="1910.85"/>
    <x v="2"/>
    <s v="FREESHIP"/>
    <n v="0"/>
    <s v="REG100510"/>
    <s v="Cust 6746"/>
    <n v="17.72"/>
    <x v="398"/>
    <d v="2024-04-25T00:00:00"/>
    <s v="Wendy"/>
  </r>
  <r>
    <d v="2025-01-25T00:00:00"/>
    <x v="2"/>
    <x v="3"/>
    <n v="3"/>
    <n v="365.54"/>
    <s v="Store B"/>
    <x v="1"/>
    <n v="0.15"/>
    <x v="2"/>
    <n v="932.12700000000007"/>
    <x v="0"/>
    <m/>
    <n v="0"/>
    <s v="REG100511"/>
    <s v="Cust 8189"/>
    <n v="45.89"/>
    <x v="59"/>
    <d v="2025-01-29T00:00:00"/>
    <s v="Ryan"/>
  </r>
  <r>
    <d v="2024-11-13T00:00:00"/>
    <x v="2"/>
    <x v="0"/>
    <n v="5"/>
    <n v="270.13"/>
    <s v="Store C"/>
    <x v="1"/>
    <n v="0.15"/>
    <x v="0"/>
    <n v="1148.0525"/>
    <x v="2"/>
    <m/>
    <n v="0"/>
    <s v="REG100512"/>
    <s v="Cust 8470"/>
    <n v="15.74"/>
    <x v="371"/>
    <d v="2024-11-19T00:00:00"/>
    <s v="Ryan"/>
  </r>
  <r>
    <d v="2023-03-16T00:00:00"/>
    <x v="0"/>
    <x v="5"/>
    <n v="2"/>
    <n v="480.15"/>
    <s v="Store D"/>
    <x v="1"/>
    <n v="0.15"/>
    <x v="4"/>
    <n v="816.255"/>
    <x v="0"/>
    <m/>
    <n v="0"/>
    <s v="REG100513"/>
    <s v="Cust 1044"/>
    <n v="42.07"/>
    <x v="399"/>
    <d v="2023-03-21T00:00:00"/>
    <s v="Eric"/>
  </r>
  <r>
    <d v="2023-05-06T00:00:00"/>
    <x v="2"/>
    <x v="0"/>
    <n v="18"/>
    <n v="414.77"/>
    <s v="Store C"/>
    <x v="0"/>
    <n v="0.1"/>
    <x v="0"/>
    <n v="6719.2739999999994"/>
    <x v="2"/>
    <m/>
    <n v="1"/>
    <s v="REG100514"/>
    <s v="Cust 4010"/>
    <n v="28.55"/>
    <x v="400"/>
    <d v="2023-05-15T00:00:00"/>
    <s v="Ryan"/>
  </r>
  <r>
    <d v="2024-11-15T00:00:00"/>
    <x v="0"/>
    <x v="4"/>
    <n v="10"/>
    <n v="98.24"/>
    <s v="Store C"/>
    <x v="0"/>
    <n v="0"/>
    <x v="2"/>
    <n v="982.4"/>
    <x v="2"/>
    <s v="FREESHIP"/>
    <n v="1"/>
    <s v="REG100515"/>
    <s v="Cust 1385"/>
    <n v="21.01"/>
    <x v="67"/>
    <d v="2024-11-17T00:00:00"/>
    <s v="Eric"/>
  </r>
  <r>
    <d v="2024-06-28T00:00:00"/>
    <x v="3"/>
    <x v="0"/>
    <n v="6"/>
    <n v="227.6"/>
    <s v="Store D"/>
    <x v="1"/>
    <n v="0.05"/>
    <x v="3"/>
    <n v="1297.32"/>
    <x v="3"/>
    <s v="FREESHIP"/>
    <n v="0"/>
    <s v="REG100516"/>
    <s v="Cust 1904"/>
    <n v="38.22"/>
    <x v="163"/>
    <d v="2024-07-05T00:00:00"/>
    <s v="Cameron"/>
  </r>
  <r>
    <d v="2025-05-11T00:00:00"/>
    <x v="3"/>
    <x v="4"/>
    <n v="5"/>
    <n v="136.13"/>
    <s v="Store C"/>
    <x v="1"/>
    <n v="0.15"/>
    <x v="3"/>
    <n v="578.55250000000001"/>
    <x v="0"/>
    <m/>
    <n v="0"/>
    <s v="REG100517"/>
    <s v="Cust 6034"/>
    <n v="10.02"/>
    <x v="15"/>
    <d v="2025-05-20T00:00:00"/>
    <s v="Cameron"/>
  </r>
  <r>
    <d v="2023-02-26T00:00:00"/>
    <x v="3"/>
    <x v="5"/>
    <n v="5"/>
    <n v="489.13"/>
    <s v="Store C"/>
    <x v="1"/>
    <n v="0.1"/>
    <x v="4"/>
    <n v="2201.085"/>
    <x v="1"/>
    <s v="FREESHIP"/>
    <n v="0"/>
    <s v="REG100518"/>
    <s v="Cust 9239"/>
    <n v="44.73"/>
    <x v="16"/>
    <d v="2023-03-04T00:00:00"/>
    <s v="Cameron"/>
  </r>
  <r>
    <d v="2024-04-30T00:00:00"/>
    <x v="1"/>
    <x v="0"/>
    <n v="4"/>
    <n v="414.36"/>
    <s v="Store A"/>
    <x v="1"/>
    <n v="0"/>
    <x v="5"/>
    <n v="1657.44"/>
    <x v="3"/>
    <s v="FREESHIP"/>
    <n v="0"/>
    <s v="REG100519"/>
    <s v="Cust 5678"/>
    <n v="8.02"/>
    <x v="401"/>
    <d v="2024-05-07T00:00:00"/>
    <s v="Sophie"/>
  </r>
  <r>
    <d v="2025-03-11T00:00:00"/>
    <x v="0"/>
    <x v="0"/>
    <n v="6"/>
    <n v="138.26"/>
    <s v="Store B"/>
    <x v="1"/>
    <n v="0.15"/>
    <x v="0"/>
    <n v="705.12599999999998"/>
    <x v="0"/>
    <m/>
    <n v="1"/>
    <s v="REG100520"/>
    <s v="Cust 3696"/>
    <n v="31.4"/>
    <x v="402"/>
    <d v="2025-03-13T00:00:00"/>
    <s v="Eric"/>
  </r>
  <r>
    <d v="2025-06-30T00:00:00"/>
    <x v="0"/>
    <x v="1"/>
    <n v="12"/>
    <n v="487.57"/>
    <s v="Store A"/>
    <x v="0"/>
    <n v="0.05"/>
    <x v="0"/>
    <n v="5558.2979999999998"/>
    <x v="4"/>
    <m/>
    <n v="0"/>
    <s v="REG100521"/>
    <s v="Cust 9025"/>
    <n v="37.33"/>
    <x v="148"/>
    <d v="2025-07-10T00:00:00"/>
    <s v="Eric"/>
  </r>
  <r>
    <d v="2024-06-02T00:00:00"/>
    <x v="2"/>
    <x v="3"/>
    <n v="20"/>
    <n v="427.3"/>
    <s v="Store C"/>
    <x v="0"/>
    <n v="0.05"/>
    <x v="2"/>
    <n v="8118.7"/>
    <x v="1"/>
    <s v="FREESHIP"/>
    <n v="1"/>
    <s v="REG100522"/>
    <s v="Cust 9924"/>
    <n v="25.19"/>
    <x v="403"/>
    <d v="2024-06-08T00:00:00"/>
    <s v="Ryan"/>
  </r>
  <r>
    <d v="2024-09-01T00:00:00"/>
    <x v="1"/>
    <x v="0"/>
    <n v="16"/>
    <n v="588.91999999999996"/>
    <s v="Store D"/>
    <x v="0"/>
    <n v="0.15"/>
    <x v="1"/>
    <n v="8009.311999999999"/>
    <x v="4"/>
    <s v="FREESHIP"/>
    <n v="0"/>
    <s v="REG100523"/>
    <s v="Cust 3887"/>
    <n v="7.89"/>
    <x v="404"/>
    <d v="2024-09-05T00:00:00"/>
    <s v="Sophie"/>
  </r>
  <r>
    <d v="2025-01-11T00:00:00"/>
    <x v="1"/>
    <x v="0"/>
    <n v="6"/>
    <n v="429.45"/>
    <s v="Store B"/>
    <x v="1"/>
    <n v="0.1"/>
    <x v="1"/>
    <n v="2319.0300000000002"/>
    <x v="4"/>
    <m/>
    <n v="0"/>
    <s v="REG100524"/>
    <s v="Cust 5302"/>
    <n v="47.18"/>
    <x v="405"/>
    <d v="2025-01-18T00:00:00"/>
    <s v="Sophie"/>
  </r>
  <r>
    <d v="2025-03-31T00:00:00"/>
    <x v="1"/>
    <x v="1"/>
    <n v="1"/>
    <n v="476"/>
    <s v="Store A"/>
    <x v="0"/>
    <n v="0.15"/>
    <x v="3"/>
    <n v="404.6"/>
    <x v="4"/>
    <s v="FREESHIP"/>
    <n v="0"/>
    <s v="REG100525"/>
    <s v="Cust 2290"/>
    <n v="18.95"/>
    <x v="314"/>
    <d v="2025-04-03T00:00:00"/>
    <s v="Sophie"/>
  </r>
  <r>
    <d v="2024-11-28T00:00:00"/>
    <x v="1"/>
    <x v="1"/>
    <n v="13"/>
    <n v="141.26"/>
    <s v="Store B"/>
    <x v="1"/>
    <n v="0"/>
    <x v="2"/>
    <n v="1836.38"/>
    <x v="0"/>
    <m/>
    <n v="0"/>
    <s v="REG100526"/>
    <s v="Cust 2227"/>
    <n v="23.68"/>
    <x v="406"/>
    <d v="2024-12-05T00:00:00"/>
    <s v="Sophie"/>
  </r>
  <r>
    <d v="2023-07-05T00:00:00"/>
    <x v="2"/>
    <x v="3"/>
    <n v="3"/>
    <n v="250.65"/>
    <s v="Store D"/>
    <x v="1"/>
    <n v="0.15"/>
    <x v="0"/>
    <n v="639.15750000000003"/>
    <x v="2"/>
    <s v="SAVE10"/>
    <n v="0"/>
    <s v="REG100527"/>
    <s v="Cust 1726"/>
    <n v="44.46"/>
    <x v="407"/>
    <d v="2023-07-07T00:00:00"/>
    <s v="Ryan"/>
  </r>
  <r>
    <d v="2024-10-24T00:00:00"/>
    <x v="4"/>
    <x v="4"/>
    <n v="19"/>
    <n v="301.17"/>
    <s v="Store D"/>
    <x v="1"/>
    <n v="0.05"/>
    <x v="1"/>
    <n v="5436.1184999999996"/>
    <x v="3"/>
    <s v="WINTER15"/>
    <n v="0"/>
    <s v="REG100528"/>
    <s v="Cust 9874"/>
    <n v="5.71"/>
    <x v="408"/>
    <d v="2024-11-03T00:00:00"/>
    <s v="Wendy"/>
  </r>
  <r>
    <d v="2025-04-08T00:00:00"/>
    <x v="2"/>
    <x v="3"/>
    <n v="7"/>
    <n v="30.79"/>
    <s v="Store C"/>
    <x v="1"/>
    <n v="0.1"/>
    <x v="5"/>
    <n v="193.977"/>
    <x v="4"/>
    <s v="WINTER15"/>
    <n v="1"/>
    <s v="REG100529"/>
    <s v="Cust 1774"/>
    <n v="11.39"/>
    <x v="409"/>
    <d v="2025-04-16T00:00:00"/>
    <s v="Ryan"/>
  </r>
  <r>
    <d v="2024-06-05T00:00:00"/>
    <x v="0"/>
    <x v="0"/>
    <n v="1"/>
    <n v="561.6"/>
    <s v="Store A"/>
    <x v="0"/>
    <n v="0.15"/>
    <x v="1"/>
    <n v="477.36"/>
    <x v="3"/>
    <s v="SAVE10"/>
    <n v="0"/>
    <s v="REG100530"/>
    <s v="Cust 2414"/>
    <n v="38.020000000000003"/>
    <x v="410"/>
    <d v="2024-06-10T00:00:00"/>
    <s v="Eric"/>
  </r>
  <r>
    <d v="2025-01-23T00:00:00"/>
    <x v="4"/>
    <x v="1"/>
    <n v="16"/>
    <n v="193.7"/>
    <s v="Store A"/>
    <x v="1"/>
    <n v="0.15"/>
    <x v="5"/>
    <n v="2634.32"/>
    <x v="2"/>
    <s v="SAVE10"/>
    <n v="0"/>
    <s v="REG100531"/>
    <s v="Cust 6534"/>
    <n v="6.83"/>
    <x v="187"/>
    <d v="2025-01-29T00:00:00"/>
    <s v="Wendy"/>
  </r>
  <r>
    <d v="2024-11-04T00:00:00"/>
    <x v="3"/>
    <x v="5"/>
    <n v="17"/>
    <n v="310.02999999999997"/>
    <s v="Store D"/>
    <x v="1"/>
    <n v="0.05"/>
    <x v="3"/>
    <n v="5006.9844999999987"/>
    <x v="0"/>
    <s v="FREESHIP"/>
    <n v="0"/>
    <s v="REG100532"/>
    <s v="Cust 3170"/>
    <n v="8.06"/>
    <x v="208"/>
    <d v="2024-11-12T00:00:00"/>
    <s v="Cameron"/>
  </r>
  <r>
    <d v="2024-01-01T00:00:00"/>
    <x v="4"/>
    <x v="6"/>
    <n v="13"/>
    <n v="204.67"/>
    <s v="Store A"/>
    <x v="1"/>
    <n v="0.15"/>
    <x v="1"/>
    <n v="2261.6035000000002"/>
    <x v="0"/>
    <m/>
    <n v="0"/>
    <s v="REG100533"/>
    <s v="Cust 5438"/>
    <n v="6.76"/>
    <x v="223"/>
    <d v="2024-01-05T00:00:00"/>
    <s v="Wendy"/>
  </r>
  <r>
    <d v="2024-04-09T00:00:00"/>
    <x v="3"/>
    <x v="6"/>
    <n v="3"/>
    <n v="250.11"/>
    <s v="Store D"/>
    <x v="0"/>
    <n v="0"/>
    <x v="1"/>
    <n v="750.33"/>
    <x v="1"/>
    <s v="FREESHIP"/>
    <n v="0"/>
    <s v="REG100534"/>
    <s v="Cust 2670"/>
    <n v="36.35"/>
    <x v="173"/>
    <d v="2024-04-17T00:00:00"/>
    <s v="Cameron"/>
  </r>
  <r>
    <d v="2025-01-17T00:00:00"/>
    <x v="2"/>
    <x v="2"/>
    <n v="12"/>
    <n v="526.82000000000005"/>
    <s v="Store A"/>
    <x v="1"/>
    <n v="0"/>
    <x v="2"/>
    <n v="6321.84"/>
    <x v="2"/>
    <s v="WINTER15"/>
    <n v="0"/>
    <s v="REG100535"/>
    <s v="Cust 8949"/>
    <n v="29.75"/>
    <x v="50"/>
    <d v="2025-01-25T00:00:00"/>
    <s v="Ryan"/>
  </r>
  <r>
    <d v="2024-09-22T00:00:00"/>
    <x v="0"/>
    <x v="3"/>
    <n v="18"/>
    <n v="575.1"/>
    <s v="Store D"/>
    <x v="0"/>
    <n v="0"/>
    <x v="5"/>
    <n v="10351.799999999999"/>
    <x v="0"/>
    <s v="FREESHIP"/>
    <n v="0"/>
    <s v="REG100536"/>
    <s v="Cust 9748"/>
    <n v="35.32"/>
    <x v="309"/>
    <d v="2024-09-29T00:00:00"/>
    <s v="Eric"/>
  </r>
  <r>
    <d v="2023-01-20T00:00:00"/>
    <x v="0"/>
    <x v="4"/>
    <n v="8"/>
    <n v="325.52"/>
    <s v="Store C"/>
    <x v="1"/>
    <n v="0.1"/>
    <x v="2"/>
    <n v="2343.7440000000001"/>
    <x v="3"/>
    <s v="WINTER15"/>
    <n v="0"/>
    <s v="REG100537"/>
    <s v="Cust 1220"/>
    <n v="45.59"/>
    <x v="411"/>
    <d v="2023-01-25T00:00:00"/>
    <s v="Eric"/>
  </r>
  <r>
    <d v="2024-01-12T00:00:00"/>
    <x v="2"/>
    <x v="4"/>
    <n v="14"/>
    <n v="157.13999999999999"/>
    <s v="Store A"/>
    <x v="0"/>
    <n v="0.15"/>
    <x v="4"/>
    <n v="1869.9659999999999"/>
    <x v="1"/>
    <s v="SAVE10"/>
    <n v="0"/>
    <s v="REG100538"/>
    <s v="Cust 5645"/>
    <n v="36.04"/>
    <x v="412"/>
    <d v="2024-01-22T00:00:00"/>
    <s v="Ryan"/>
  </r>
  <r>
    <d v="2024-04-08T00:00:00"/>
    <x v="3"/>
    <x v="0"/>
    <n v="10"/>
    <n v="100.26"/>
    <s v="Store D"/>
    <x v="0"/>
    <n v="0.05"/>
    <x v="3"/>
    <n v="952.47"/>
    <x v="1"/>
    <s v="SAVE10"/>
    <n v="0"/>
    <s v="REG100539"/>
    <s v="Cust 6577"/>
    <n v="36.71"/>
    <x v="413"/>
    <d v="2024-04-15T00:00:00"/>
    <s v="Cameron"/>
  </r>
  <r>
    <d v="2023-04-27T00:00:00"/>
    <x v="3"/>
    <x v="0"/>
    <n v="9"/>
    <n v="554.48"/>
    <s v="Store C"/>
    <x v="0"/>
    <n v="0"/>
    <x v="3"/>
    <n v="4990.32"/>
    <x v="0"/>
    <m/>
    <n v="0"/>
    <s v="REG100540"/>
    <s v="Cust 9506"/>
    <n v="48.26"/>
    <x v="178"/>
    <d v="2023-05-01T00:00:00"/>
    <s v="Cameron"/>
  </r>
  <r>
    <d v="2024-07-17T00:00:00"/>
    <x v="2"/>
    <x v="1"/>
    <n v="4"/>
    <n v="375.96"/>
    <s v="Store C"/>
    <x v="1"/>
    <n v="0.15"/>
    <x v="3"/>
    <n v="1278.2639999999999"/>
    <x v="3"/>
    <m/>
    <n v="0"/>
    <s v="REG100541"/>
    <s v="Cust 9302"/>
    <n v="44.99"/>
    <x v="414"/>
    <d v="2024-07-25T00:00:00"/>
    <s v="Ryan"/>
  </r>
  <r>
    <d v="2024-02-17T00:00:00"/>
    <x v="3"/>
    <x v="4"/>
    <n v="14"/>
    <n v="485.21"/>
    <s v="Store A"/>
    <x v="1"/>
    <n v="0"/>
    <x v="2"/>
    <n v="6792.94"/>
    <x v="0"/>
    <s v="FREESHIP"/>
    <n v="0"/>
    <s v="REG100542"/>
    <s v="Cust 3030"/>
    <n v="41.72"/>
    <x v="415"/>
    <d v="2024-02-23T00:00:00"/>
    <s v="Cameron"/>
  </r>
  <r>
    <d v="2024-01-25T00:00:00"/>
    <x v="1"/>
    <x v="4"/>
    <n v="9"/>
    <n v="372.44"/>
    <s v="Store A"/>
    <x v="0"/>
    <n v="0.05"/>
    <x v="4"/>
    <n v="3184.3620000000001"/>
    <x v="1"/>
    <s v="FREESHIP"/>
    <n v="0"/>
    <s v="REG100543"/>
    <s v="Cust 5896"/>
    <n v="41.87"/>
    <x v="109"/>
    <d v="2024-02-02T00:00:00"/>
    <s v="Sophie"/>
  </r>
  <r>
    <d v="2024-03-24T00:00:00"/>
    <x v="3"/>
    <x v="0"/>
    <n v="7"/>
    <n v="140.53"/>
    <s v="Store D"/>
    <x v="1"/>
    <n v="0"/>
    <x v="2"/>
    <n v="983.71"/>
    <x v="3"/>
    <m/>
    <n v="1"/>
    <s v="REG100544"/>
    <s v="Cust 3763"/>
    <n v="24.53"/>
    <x v="214"/>
    <d v="2024-04-02T00:00:00"/>
    <s v="Cameron"/>
  </r>
  <r>
    <d v="2023-06-25T00:00:00"/>
    <x v="2"/>
    <x v="2"/>
    <n v="15"/>
    <n v="365.61"/>
    <s v="Store D"/>
    <x v="1"/>
    <n v="0.15"/>
    <x v="5"/>
    <n v="4661.5275000000001"/>
    <x v="4"/>
    <s v="FREESHIP"/>
    <n v="0"/>
    <s v="REG100545"/>
    <s v="Cust 9510"/>
    <n v="35.840000000000003"/>
    <x v="416"/>
    <d v="2023-06-27T00:00:00"/>
    <s v="Ryan"/>
  </r>
  <r>
    <d v="2023-04-17T00:00:00"/>
    <x v="1"/>
    <x v="0"/>
    <n v="20"/>
    <n v="353.97"/>
    <s v="Store B"/>
    <x v="0"/>
    <n v="0.15"/>
    <x v="2"/>
    <n v="6017.4900000000007"/>
    <x v="4"/>
    <s v="WINTER15"/>
    <n v="1"/>
    <s v="REG100546"/>
    <s v="Cust 7637"/>
    <n v="22.05"/>
    <x v="417"/>
    <d v="2023-04-20T00:00:00"/>
    <s v="Sophie"/>
  </r>
  <r>
    <d v="2023-06-28T00:00:00"/>
    <x v="0"/>
    <x v="3"/>
    <n v="14"/>
    <n v="293.31"/>
    <s v="Store D"/>
    <x v="0"/>
    <n v="0"/>
    <x v="1"/>
    <n v="4106.34"/>
    <x v="1"/>
    <m/>
    <n v="0"/>
    <s v="REG100547"/>
    <s v="Cust 8382"/>
    <n v="21.61"/>
    <x v="418"/>
    <d v="2023-06-30T00:00:00"/>
    <s v="Eric"/>
  </r>
  <r>
    <d v="2024-04-06T00:00:00"/>
    <x v="3"/>
    <x v="3"/>
    <n v="10"/>
    <n v="397.39"/>
    <s v="Store D"/>
    <x v="1"/>
    <n v="0.15"/>
    <x v="1"/>
    <n v="3377.8150000000001"/>
    <x v="1"/>
    <m/>
    <n v="0"/>
    <s v="REG100548"/>
    <s v="Cust 4015"/>
    <n v="25.27"/>
    <x v="419"/>
    <d v="2024-04-16T00:00:00"/>
    <s v="Cameron"/>
  </r>
  <r>
    <d v="2025-02-17T00:00:00"/>
    <x v="1"/>
    <x v="3"/>
    <n v="2"/>
    <n v="98.35"/>
    <s v="Store C"/>
    <x v="1"/>
    <n v="0"/>
    <x v="0"/>
    <n v="196.7"/>
    <x v="3"/>
    <s v="FREESHIP"/>
    <n v="0"/>
    <s v="REG100549"/>
    <s v="Cust 5172"/>
    <n v="28.65"/>
    <x v="130"/>
    <d v="2025-02-19T00:00:00"/>
    <s v="Sophie"/>
  </r>
  <r>
    <d v="2023-01-08T00:00:00"/>
    <x v="1"/>
    <x v="2"/>
    <n v="6"/>
    <n v="581.66999999999996"/>
    <s v="Store A"/>
    <x v="0"/>
    <n v="0"/>
    <x v="2"/>
    <n v="3490.02"/>
    <x v="3"/>
    <m/>
    <n v="0"/>
    <s v="REG100550"/>
    <s v="Cust 7584"/>
    <n v="39.4"/>
    <x v="420"/>
    <d v="2023-01-11T00:00:00"/>
    <s v="Sophie"/>
  </r>
  <r>
    <d v="2023-12-21T00:00:00"/>
    <x v="1"/>
    <x v="1"/>
    <n v="19"/>
    <n v="30.41"/>
    <s v="Store D"/>
    <x v="1"/>
    <n v="0.05"/>
    <x v="2"/>
    <n v="548.90049999999997"/>
    <x v="3"/>
    <s v="FREESHIP"/>
    <n v="0"/>
    <s v="REG100551"/>
    <s v="Cust 6809"/>
    <n v="48.33"/>
    <x v="146"/>
    <d v="2023-12-31T00:00:00"/>
    <s v="Sophie"/>
  </r>
  <r>
    <d v="2024-07-13T00:00:00"/>
    <x v="2"/>
    <x v="4"/>
    <n v="15"/>
    <n v="368.79"/>
    <s v="Store C"/>
    <x v="0"/>
    <n v="0.1"/>
    <x v="5"/>
    <n v="4978.6650000000009"/>
    <x v="1"/>
    <s v="WINTER15"/>
    <n v="0"/>
    <s v="REG100552"/>
    <s v="Cust 7540"/>
    <n v="16.899999999999999"/>
    <x v="421"/>
    <d v="2024-07-15T00:00:00"/>
    <s v="Ryan"/>
  </r>
  <r>
    <d v="2024-03-23T00:00:00"/>
    <x v="4"/>
    <x v="4"/>
    <n v="4"/>
    <n v="56.06"/>
    <s v="Store D"/>
    <x v="1"/>
    <n v="0.15"/>
    <x v="3"/>
    <n v="190.60400000000001"/>
    <x v="4"/>
    <s v="SAVE10"/>
    <n v="0"/>
    <s v="REG100553"/>
    <s v="Cust 6888"/>
    <n v="10.77"/>
    <x v="105"/>
    <d v="2024-04-01T00:00:00"/>
    <s v="Wendy"/>
  </r>
  <r>
    <d v="2024-03-19T00:00:00"/>
    <x v="4"/>
    <x v="3"/>
    <n v="7"/>
    <n v="15.65"/>
    <s v="Store D"/>
    <x v="0"/>
    <n v="0"/>
    <x v="3"/>
    <n v="109.55"/>
    <x v="3"/>
    <m/>
    <n v="0"/>
    <s v="REG100554"/>
    <s v="Cust 3304"/>
    <n v="13.28"/>
    <x v="422"/>
    <d v="2024-03-25T00:00:00"/>
    <s v="Wendy"/>
  </r>
  <r>
    <d v="2025-05-20T00:00:00"/>
    <x v="3"/>
    <x v="5"/>
    <n v="9"/>
    <n v="380.85"/>
    <s v="Store B"/>
    <x v="0"/>
    <n v="0"/>
    <x v="3"/>
    <n v="3427.65"/>
    <x v="4"/>
    <s v="FREESHIP"/>
    <n v="0"/>
    <s v="REG100555"/>
    <s v="Cust 4196"/>
    <n v="33.4"/>
    <x v="355"/>
    <d v="2025-05-29T00:00:00"/>
    <s v="Cameron"/>
  </r>
  <r>
    <d v="2025-01-19T00:00:00"/>
    <x v="1"/>
    <x v="3"/>
    <n v="11"/>
    <n v="587.21"/>
    <s v="Store C"/>
    <x v="0"/>
    <n v="0"/>
    <x v="3"/>
    <n v="6459.31"/>
    <x v="3"/>
    <s v="WINTER15"/>
    <n v="0"/>
    <s v="REG100556"/>
    <s v="Cust 6596"/>
    <n v="34.32"/>
    <x v="423"/>
    <d v="2025-01-26T00:00:00"/>
    <s v="Sophie"/>
  </r>
  <r>
    <d v="2023-05-28T00:00:00"/>
    <x v="1"/>
    <x v="6"/>
    <n v="17"/>
    <n v="554.25"/>
    <s v="Store A"/>
    <x v="0"/>
    <n v="0.1"/>
    <x v="4"/>
    <n v="8480.0249999999996"/>
    <x v="3"/>
    <m/>
    <n v="0"/>
    <s v="REG100557"/>
    <s v="Cust 5588"/>
    <n v="8.66"/>
    <x v="424"/>
    <d v="2023-06-01T00:00:00"/>
    <s v="Sophie"/>
  </r>
  <r>
    <d v="2023-10-28T00:00:00"/>
    <x v="0"/>
    <x v="6"/>
    <n v="3"/>
    <n v="410.23"/>
    <s v="Store A"/>
    <x v="0"/>
    <n v="0.15"/>
    <x v="4"/>
    <n v="1046.0864999999999"/>
    <x v="2"/>
    <s v="FREESHIP"/>
    <n v="0"/>
    <s v="REG100558"/>
    <s v="Cust 1518"/>
    <n v="6.04"/>
    <x v="301"/>
    <d v="2023-11-03T00:00:00"/>
    <s v="Eric"/>
  </r>
  <r>
    <d v="2023-11-25T00:00:00"/>
    <x v="4"/>
    <x v="4"/>
    <n v="5"/>
    <n v="99.23"/>
    <s v="Store B"/>
    <x v="1"/>
    <n v="0"/>
    <x v="0"/>
    <n v="496.15"/>
    <x v="3"/>
    <m/>
    <n v="0"/>
    <s v="REG100559"/>
    <s v="Cust 2819"/>
    <n v="37.659999999999997"/>
    <x v="425"/>
    <d v="2023-12-02T00:00:00"/>
    <s v="Wendy"/>
  </r>
  <r>
    <d v="2024-11-17T00:00:00"/>
    <x v="1"/>
    <x v="4"/>
    <n v="9"/>
    <n v="503.18"/>
    <s v="Store B"/>
    <x v="0"/>
    <n v="0"/>
    <x v="4"/>
    <n v="4528.62"/>
    <x v="1"/>
    <s v="SAVE10"/>
    <n v="1"/>
    <s v="REG100560"/>
    <s v="Cust 1947"/>
    <n v="46.02"/>
    <x v="426"/>
    <d v="2024-11-24T00:00:00"/>
    <s v="Sophie"/>
  </r>
  <r>
    <d v="2024-01-24T00:00:00"/>
    <x v="3"/>
    <x v="4"/>
    <n v="17"/>
    <n v="155.31"/>
    <s v="Store C"/>
    <x v="1"/>
    <n v="0.15"/>
    <x v="5"/>
    <n v="2244.2294999999999"/>
    <x v="2"/>
    <s v="WINTER15"/>
    <n v="0"/>
    <s v="REG100561"/>
    <s v="Cust 7332"/>
    <n v="27.1"/>
    <x v="113"/>
    <d v="2024-01-29T00:00:00"/>
    <s v="Cameron"/>
  </r>
  <r>
    <d v="2023-06-19T00:00:00"/>
    <x v="2"/>
    <x v="3"/>
    <n v="7"/>
    <n v="303.79000000000002"/>
    <s v="Store D"/>
    <x v="0"/>
    <n v="0.15"/>
    <x v="2"/>
    <n v="1807.5505000000001"/>
    <x v="2"/>
    <s v="SAVE10"/>
    <n v="0"/>
    <s v="REG100562"/>
    <s v="Cust 7314"/>
    <n v="38.85"/>
    <x v="182"/>
    <d v="2023-06-29T00:00:00"/>
    <s v="Ryan"/>
  </r>
  <r>
    <d v="2025-01-13T00:00:00"/>
    <x v="0"/>
    <x v="1"/>
    <n v="17"/>
    <n v="263.75"/>
    <s v="Store B"/>
    <x v="1"/>
    <n v="0"/>
    <x v="1"/>
    <n v="4483.75"/>
    <x v="0"/>
    <m/>
    <n v="1"/>
    <s v="REG100563"/>
    <s v="Cust 5296"/>
    <n v="12.97"/>
    <x v="427"/>
    <d v="2025-01-18T00:00:00"/>
    <s v="Eric"/>
  </r>
  <r>
    <d v="2024-01-24T00:00:00"/>
    <x v="0"/>
    <x v="1"/>
    <n v="4"/>
    <n v="179.92"/>
    <s v="Store D"/>
    <x v="1"/>
    <n v="0.1"/>
    <x v="4"/>
    <n v="647.71199999999999"/>
    <x v="0"/>
    <s v="WINTER15"/>
    <n v="0"/>
    <s v="REG100564"/>
    <s v="Cust 2964"/>
    <n v="35.26"/>
    <x v="113"/>
    <d v="2024-02-01T00:00:00"/>
    <s v="Eric"/>
  </r>
  <r>
    <d v="2025-01-06T00:00:00"/>
    <x v="1"/>
    <x v="6"/>
    <n v="2"/>
    <n v="264"/>
    <s v="Store D"/>
    <x v="1"/>
    <n v="0"/>
    <x v="5"/>
    <n v="528"/>
    <x v="1"/>
    <s v="SAVE10"/>
    <n v="0"/>
    <s v="REG100565"/>
    <s v="Cust 5381"/>
    <n v="26.73"/>
    <x v="428"/>
    <d v="2025-01-14T00:00:00"/>
    <s v="Sophie"/>
  </r>
  <r>
    <d v="2025-01-02T00:00:00"/>
    <x v="3"/>
    <x v="0"/>
    <n v="4"/>
    <n v="403.97"/>
    <s v="Store A"/>
    <x v="0"/>
    <n v="0.05"/>
    <x v="1"/>
    <n v="1535.086"/>
    <x v="4"/>
    <s v="WINTER15"/>
    <n v="0"/>
    <s v="REG100566"/>
    <s v="Cust 5436"/>
    <n v="39.92"/>
    <x v="368"/>
    <d v="2025-01-09T00:00:00"/>
    <s v="Cameron"/>
  </r>
  <r>
    <d v="2023-02-22T00:00:00"/>
    <x v="2"/>
    <x v="2"/>
    <n v="4"/>
    <n v="85.96"/>
    <s v="Store A"/>
    <x v="1"/>
    <n v="0.1"/>
    <x v="2"/>
    <n v="309.45600000000002"/>
    <x v="2"/>
    <m/>
    <n v="0"/>
    <s v="REG100567"/>
    <s v="Cust 1494"/>
    <n v="32.119999999999997"/>
    <x v="429"/>
    <d v="2023-03-03T00:00:00"/>
    <s v="Ryan"/>
  </r>
  <r>
    <d v="2025-02-06T00:00:00"/>
    <x v="0"/>
    <x v="2"/>
    <n v="2"/>
    <n v="93.49"/>
    <s v="Store A"/>
    <x v="0"/>
    <n v="0.1"/>
    <x v="1"/>
    <n v="168.28200000000001"/>
    <x v="3"/>
    <s v="WINTER15"/>
    <n v="0"/>
    <s v="REG100568"/>
    <s v="Cust 4380"/>
    <n v="26.31"/>
    <x v="323"/>
    <d v="2025-02-16T00:00:00"/>
    <s v="Eric"/>
  </r>
  <r>
    <d v="2024-09-26T00:00:00"/>
    <x v="0"/>
    <x v="2"/>
    <n v="11"/>
    <n v="144.29"/>
    <s v="Store B"/>
    <x v="1"/>
    <n v="0.05"/>
    <x v="5"/>
    <n v="1507.8305"/>
    <x v="2"/>
    <s v="WINTER15"/>
    <n v="0"/>
    <s v="REG100569"/>
    <s v="Cust 7054"/>
    <n v="11.91"/>
    <x v="217"/>
    <d v="2024-09-30T00:00:00"/>
    <s v="Eric"/>
  </r>
  <r>
    <d v="2025-03-28T00:00:00"/>
    <x v="2"/>
    <x v="3"/>
    <n v="18"/>
    <n v="553.23"/>
    <s v="Store D"/>
    <x v="0"/>
    <n v="0"/>
    <x v="2"/>
    <n v="9958.14"/>
    <x v="4"/>
    <s v="FREESHIP"/>
    <n v="0"/>
    <s v="REG100570"/>
    <s v="Cust 1375"/>
    <n v="31.76"/>
    <x v="136"/>
    <d v="2025-04-01T00:00:00"/>
    <s v="Ryan"/>
  </r>
  <r>
    <d v="2023-07-01T00:00:00"/>
    <x v="0"/>
    <x v="3"/>
    <n v="9"/>
    <n v="228.3"/>
    <s v="Store B"/>
    <x v="1"/>
    <n v="0.05"/>
    <x v="0"/>
    <n v="1951.9649999999999"/>
    <x v="3"/>
    <s v="FREESHIP"/>
    <n v="0"/>
    <s v="REG100571"/>
    <s v="Cust 5698"/>
    <n v="8.75"/>
    <x v="430"/>
    <d v="2023-07-09T00:00:00"/>
    <s v="Eric"/>
  </r>
  <r>
    <d v="2023-04-29T00:00:00"/>
    <x v="4"/>
    <x v="2"/>
    <n v="7"/>
    <n v="235.94"/>
    <s v="Store D"/>
    <x v="0"/>
    <n v="0.1"/>
    <x v="1"/>
    <n v="1486.422"/>
    <x v="1"/>
    <s v="FREESHIP"/>
    <n v="0"/>
    <s v="REG100572"/>
    <s v="Cust 3259"/>
    <n v="8.44"/>
    <x v="431"/>
    <d v="2023-05-04T00:00:00"/>
    <s v="Wendy"/>
  </r>
  <r>
    <d v="2023-04-30T00:00:00"/>
    <x v="0"/>
    <x v="6"/>
    <n v="17"/>
    <n v="369.52"/>
    <s v="Store C"/>
    <x v="0"/>
    <n v="0"/>
    <x v="3"/>
    <n v="6281.84"/>
    <x v="1"/>
    <m/>
    <n v="0"/>
    <s v="REG100573"/>
    <s v="Cust 9295"/>
    <n v="17.12"/>
    <x v="432"/>
    <d v="2023-05-06T00:00:00"/>
    <s v="Eric"/>
  </r>
  <r>
    <d v="2024-03-14T00:00:00"/>
    <x v="4"/>
    <x v="1"/>
    <n v="8"/>
    <n v="142.09"/>
    <s v="Store A"/>
    <x v="0"/>
    <n v="0"/>
    <x v="0"/>
    <n v="1136.72"/>
    <x v="2"/>
    <s v="WINTER15"/>
    <n v="0"/>
    <s v="REG100574"/>
    <s v="Cust 7035"/>
    <n v="38.97"/>
    <x v="47"/>
    <d v="2024-03-20T00:00:00"/>
    <s v="Wendy"/>
  </r>
  <r>
    <d v="2023-06-27T00:00:00"/>
    <x v="3"/>
    <x v="3"/>
    <n v="3"/>
    <n v="497.61"/>
    <s v="Store B"/>
    <x v="0"/>
    <n v="0.15"/>
    <x v="1"/>
    <n v="1268.9055000000001"/>
    <x v="4"/>
    <s v="FREESHIP"/>
    <n v="1"/>
    <s v="REG100575"/>
    <s v="Cust 9049"/>
    <n v="13.97"/>
    <x v="161"/>
    <d v="2023-07-02T00:00:00"/>
    <s v="Cameron"/>
  </r>
  <r>
    <d v="2024-04-10T00:00:00"/>
    <x v="2"/>
    <x v="0"/>
    <n v="19"/>
    <n v="9.48"/>
    <s v="Store A"/>
    <x v="0"/>
    <n v="0"/>
    <x v="3"/>
    <n v="180.12"/>
    <x v="0"/>
    <m/>
    <n v="0"/>
    <s v="REG100576"/>
    <s v="Cust 6173"/>
    <n v="22.33"/>
    <x v="10"/>
    <d v="2024-04-12T00:00:00"/>
    <s v="Ryan"/>
  </r>
  <r>
    <d v="2023-08-30T00:00:00"/>
    <x v="3"/>
    <x v="6"/>
    <n v="8"/>
    <n v="55.27"/>
    <s v="Store A"/>
    <x v="0"/>
    <n v="0.15"/>
    <x v="5"/>
    <n v="375.83600000000001"/>
    <x v="4"/>
    <s v="WINTER15"/>
    <n v="0"/>
    <s v="REG100577"/>
    <s v="Cust 3447"/>
    <n v="16.84"/>
    <x v="286"/>
    <d v="2023-09-01T00:00:00"/>
    <s v="Cameron"/>
  </r>
  <r>
    <d v="2023-10-23T00:00:00"/>
    <x v="4"/>
    <x v="0"/>
    <n v="17"/>
    <n v="25.95"/>
    <s v="Store B"/>
    <x v="0"/>
    <n v="0.05"/>
    <x v="5"/>
    <n v="419.09249999999997"/>
    <x v="1"/>
    <m/>
    <n v="0"/>
    <s v="REG100578"/>
    <s v="Cust 2218"/>
    <n v="27.68"/>
    <x v="25"/>
    <d v="2023-10-30T00:00:00"/>
    <s v="Wendy"/>
  </r>
  <r>
    <d v="2023-03-23T00:00:00"/>
    <x v="2"/>
    <x v="2"/>
    <n v="18"/>
    <n v="209.65"/>
    <s v="Store A"/>
    <x v="0"/>
    <n v="0.1"/>
    <x v="3"/>
    <n v="3396.33"/>
    <x v="3"/>
    <m/>
    <n v="0"/>
    <s v="REG100579"/>
    <s v="Cust 8882"/>
    <n v="42.04"/>
    <x v="433"/>
    <d v="2023-03-30T00:00:00"/>
    <s v="Ryan"/>
  </r>
  <r>
    <d v="2024-09-21T00:00:00"/>
    <x v="3"/>
    <x v="0"/>
    <n v="13"/>
    <n v="75.77"/>
    <s v="Store B"/>
    <x v="0"/>
    <n v="0.15"/>
    <x v="2"/>
    <n v="837.25850000000003"/>
    <x v="3"/>
    <s v="SAVE10"/>
    <n v="0"/>
    <s v="REG100580"/>
    <s v="Cust 6709"/>
    <n v="41.94"/>
    <x v="367"/>
    <d v="2024-09-30T00:00:00"/>
    <s v="Cameron"/>
  </r>
  <r>
    <d v="2024-12-26T00:00:00"/>
    <x v="4"/>
    <x v="5"/>
    <n v="5"/>
    <n v="307.83999999999997"/>
    <s v="Store B"/>
    <x v="0"/>
    <n v="0.1"/>
    <x v="5"/>
    <n v="1385.28"/>
    <x v="0"/>
    <s v="SAVE10"/>
    <n v="0"/>
    <s v="REG100581"/>
    <s v="Cust 8727"/>
    <n v="13.61"/>
    <x v="215"/>
    <d v="2025-01-03T00:00:00"/>
    <s v="Wendy"/>
  </r>
  <r>
    <d v="2023-02-26T00:00:00"/>
    <x v="0"/>
    <x v="1"/>
    <n v="13"/>
    <n v="6.5"/>
    <s v="Store A"/>
    <x v="0"/>
    <n v="0"/>
    <x v="4"/>
    <n v="84.5"/>
    <x v="4"/>
    <m/>
    <n v="0"/>
    <s v="REG100582"/>
    <s v="Cust 8359"/>
    <n v="20.02"/>
    <x v="16"/>
    <d v="2023-03-03T00:00:00"/>
    <s v="Eric"/>
  </r>
  <r>
    <d v="2024-12-10T00:00:00"/>
    <x v="2"/>
    <x v="4"/>
    <n v="8"/>
    <n v="70.790000000000006"/>
    <s v="Store B"/>
    <x v="0"/>
    <n v="0"/>
    <x v="4"/>
    <n v="566.32000000000005"/>
    <x v="0"/>
    <m/>
    <n v="0"/>
    <s v="REG100583"/>
    <s v="Cust 1514"/>
    <n v="46.35"/>
    <x v="434"/>
    <d v="2024-12-14T00:00:00"/>
    <s v="Ryan"/>
  </r>
  <r>
    <d v="2025-01-01T00:00:00"/>
    <x v="0"/>
    <x v="0"/>
    <n v="17"/>
    <n v="584.70000000000005"/>
    <s v="Store D"/>
    <x v="1"/>
    <n v="0.1"/>
    <x v="0"/>
    <n v="8945.9100000000017"/>
    <x v="0"/>
    <m/>
    <n v="1"/>
    <s v="REG100584"/>
    <s v="Cust 2774"/>
    <n v="46.59"/>
    <x v="435"/>
    <d v="2025-01-03T00:00:00"/>
    <s v="Eric"/>
  </r>
  <r>
    <d v="2025-03-14T00:00:00"/>
    <x v="0"/>
    <x v="1"/>
    <n v="4"/>
    <n v="23.27"/>
    <s v="Store C"/>
    <x v="0"/>
    <n v="0.15"/>
    <x v="4"/>
    <n v="79.117999999999995"/>
    <x v="0"/>
    <s v="SAVE10"/>
    <n v="0"/>
    <s v="REG100585"/>
    <s v="Cust 4270"/>
    <n v="32.86"/>
    <x v="95"/>
    <d v="2025-03-21T00:00:00"/>
    <s v="Eric"/>
  </r>
  <r>
    <d v="2024-01-16T00:00:00"/>
    <x v="1"/>
    <x v="5"/>
    <n v="5"/>
    <n v="440.93"/>
    <s v="Store B"/>
    <x v="0"/>
    <n v="0.1"/>
    <x v="3"/>
    <n v="1984.1849999999999"/>
    <x v="1"/>
    <m/>
    <n v="0"/>
    <s v="REG100586"/>
    <s v="Cust 3123"/>
    <n v="23.84"/>
    <x v="436"/>
    <d v="2024-01-20T00:00:00"/>
    <s v="Sophie"/>
  </r>
  <r>
    <d v="2024-04-19T00:00:00"/>
    <x v="4"/>
    <x v="5"/>
    <n v="10"/>
    <n v="278.45"/>
    <s v="Store D"/>
    <x v="0"/>
    <n v="0"/>
    <x v="0"/>
    <n v="2784.5"/>
    <x v="2"/>
    <s v="SAVE10"/>
    <n v="0"/>
    <s v="REG100587"/>
    <s v="Cust 7414"/>
    <n v="11.13"/>
    <x v="53"/>
    <d v="2024-04-25T00:00:00"/>
    <s v="Wendy"/>
  </r>
  <r>
    <d v="2023-12-08T00:00:00"/>
    <x v="2"/>
    <x v="4"/>
    <n v="14"/>
    <n v="382.19"/>
    <s v="Store B"/>
    <x v="0"/>
    <n v="0.05"/>
    <x v="2"/>
    <n v="5083.1269999999986"/>
    <x v="4"/>
    <s v="FREESHIP"/>
    <n v="1"/>
    <s v="REG100588"/>
    <s v="Cust 5051"/>
    <n v="49.12"/>
    <x v="437"/>
    <d v="2023-12-11T00:00:00"/>
    <s v="Ryan"/>
  </r>
  <r>
    <d v="2023-03-15T00:00:00"/>
    <x v="2"/>
    <x v="4"/>
    <n v="14"/>
    <n v="232.49"/>
    <s v="Store D"/>
    <x v="0"/>
    <n v="0.05"/>
    <x v="4"/>
    <n v="3092.1170000000002"/>
    <x v="0"/>
    <s v="SAVE10"/>
    <n v="1"/>
    <s v="REG100589"/>
    <s v="Cust 5975"/>
    <n v="5.32"/>
    <x v="438"/>
    <d v="2023-03-19T00:00:00"/>
    <s v="Ryan"/>
  </r>
  <r>
    <d v="2025-02-07T00:00:00"/>
    <x v="1"/>
    <x v="0"/>
    <n v="17"/>
    <n v="15.01"/>
    <s v="Store D"/>
    <x v="0"/>
    <n v="0.15"/>
    <x v="4"/>
    <n v="216.89449999999999"/>
    <x v="3"/>
    <s v="SAVE10"/>
    <n v="1"/>
    <s v="REG100590"/>
    <s v="Cust 6948"/>
    <n v="22"/>
    <x v="439"/>
    <d v="2025-02-13T00:00:00"/>
    <s v="Sophie"/>
  </r>
  <r>
    <d v="2025-06-27T00:00:00"/>
    <x v="2"/>
    <x v="4"/>
    <n v="11"/>
    <n v="29.41"/>
    <s v="Store D"/>
    <x v="1"/>
    <n v="0.05"/>
    <x v="3"/>
    <n v="307.33449999999999"/>
    <x v="2"/>
    <s v="SAVE10"/>
    <n v="0"/>
    <s v="REG100591"/>
    <s v="Cust 8253"/>
    <n v="6.16"/>
    <x v="440"/>
    <d v="2025-07-02T00:00:00"/>
    <s v="Ryan"/>
  </r>
  <r>
    <d v="2024-12-17T00:00:00"/>
    <x v="3"/>
    <x v="5"/>
    <n v="1"/>
    <n v="486.19"/>
    <s v="Store B"/>
    <x v="1"/>
    <n v="0.05"/>
    <x v="2"/>
    <n v="461.88049999999998"/>
    <x v="0"/>
    <s v="SAVE10"/>
    <n v="0"/>
    <s v="REG100592"/>
    <s v="Cust 7238"/>
    <n v="41.73"/>
    <x v="441"/>
    <d v="2024-12-20T00:00:00"/>
    <s v="Cameron"/>
  </r>
  <r>
    <d v="2024-05-03T00:00:00"/>
    <x v="1"/>
    <x v="0"/>
    <n v="6"/>
    <n v="266.67"/>
    <s v="Store B"/>
    <x v="0"/>
    <n v="0.05"/>
    <x v="0"/>
    <n v="1520.019"/>
    <x v="3"/>
    <m/>
    <n v="0"/>
    <s v="REG100593"/>
    <s v="Cust 2219"/>
    <n v="48.49"/>
    <x v="80"/>
    <d v="2024-05-11T00:00:00"/>
    <s v="Sophie"/>
  </r>
  <r>
    <d v="2023-12-26T00:00:00"/>
    <x v="1"/>
    <x v="6"/>
    <n v="3"/>
    <n v="300.8"/>
    <s v="Store B"/>
    <x v="0"/>
    <n v="0.1"/>
    <x v="3"/>
    <n v="812.16000000000008"/>
    <x v="4"/>
    <m/>
    <n v="1"/>
    <s v="REG100594"/>
    <s v="Cust 4297"/>
    <n v="15.98"/>
    <x v="442"/>
    <d v="2024-01-01T00:00:00"/>
    <s v="Sophie"/>
  </r>
  <r>
    <d v="2024-05-13T00:00:00"/>
    <x v="3"/>
    <x v="6"/>
    <n v="11"/>
    <n v="79.63"/>
    <s v="Store B"/>
    <x v="0"/>
    <n v="0.05"/>
    <x v="2"/>
    <n v="832.13349999999991"/>
    <x v="0"/>
    <m/>
    <n v="0"/>
    <s v="REG100595"/>
    <s v="Cust 6665"/>
    <n v="43.84"/>
    <x v="443"/>
    <d v="2024-05-19T00:00:00"/>
    <s v="Cameron"/>
  </r>
  <r>
    <d v="2023-10-07T00:00:00"/>
    <x v="1"/>
    <x v="0"/>
    <n v="6"/>
    <n v="505.7"/>
    <s v="Store C"/>
    <x v="1"/>
    <n v="0"/>
    <x v="1"/>
    <n v="3034.2"/>
    <x v="4"/>
    <m/>
    <n v="0"/>
    <s v="REG100596"/>
    <s v="Cust 4252"/>
    <n v="40.380000000000003"/>
    <x v="444"/>
    <d v="2023-10-16T00:00:00"/>
    <s v="Sophie"/>
  </r>
  <r>
    <d v="2023-07-11T00:00:00"/>
    <x v="4"/>
    <x v="6"/>
    <n v="5"/>
    <n v="569.62"/>
    <s v="Store C"/>
    <x v="0"/>
    <n v="0"/>
    <x v="4"/>
    <n v="2848.1"/>
    <x v="3"/>
    <s v="FREESHIP"/>
    <n v="0"/>
    <s v="REG100597"/>
    <s v="Cust 6104"/>
    <n v="48.8"/>
    <x v="445"/>
    <d v="2023-07-13T00:00:00"/>
    <s v="Wendy"/>
  </r>
  <r>
    <d v="2025-01-31T00:00:00"/>
    <x v="1"/>
    <x v="5"/>
    <n v="19"/>
    <n v="90.85"/>
    <s v="Store C"/>
    <x v="1"/>
    <n v="0.05"/>
    <x v="1"/>
    <n v="1639.8425"/>
    <x v="2"/>
    <s v="SAVE10"/>
    <n v="0"/>
    <s v="REG100598"/>
    <s v="Cust 6407"/>
    <n v="22.28"/>
    <x v="94"/>
    <d v="2025-02-06T00:00:00"/>
    <s v="Sophie"/>
  </r>
  <r>
    <d v="2023-02-04T00:00:00"/>
    <x v="1"/>
    <x v="3"/>
    <n v="2"/>
    <n v="296.91000000000003"/>
    <s v="Store A"/>
    <x v="0"/>
    <n v="0.05"/>
    <x v="3"/>
    <n v="564.12900000000002"/>
    <x v="3"/>
    <s v="WINTER15"/>
    <n v="0"/>
    <s v="REG100599"/>
    <s v="Cust 3573"/>
    <n v="44.35"/>
    <x v="446"/>
    <d v="2023-02-07T00:00:00"/>
    <s v="Sophie"/>
  </r>
  <r>
    <d v="2023-09-02T00:00:00"/>
    <x v="1"/>
    <x v="6"/>
    <n v="2"/>
    <n v="6.19"/>
    <s v="Store B"/>
    <x v="1"/>
    <n v="0.1"/>
    <x v="2"/>
    <n v="11.141999999999999"/>
    <x v="2"/>
    <s v="FREESHIP"/>
    <n v="1"/>
    <s v="REG100600"/>
    <s v="Cust 5280"/>
    <n v="47.24"/>
    <x v="447"/>
    <d v="2023-09-12T00:00:00"/>
    <s v="Sophie"/>
  </r>
  <r>
    <d v="2024-12-13T00:00:00"/>
    <x v="3"/>
    <x v="4"/>
    <n v="18"/>
    <n v="207.35"/>
    <s v="Store D"/>
    <x v="0"/>
    <n v="0.15"/>
    <x v="1"/>
    <n v="3172.454999999999"/>
    <x v="3"/>
    <s v="FREESHIP"/>
    <n v="0"/>
    <s v="REG100601"/>
    <s v="Cust 2365"/>
    <n v="11.17"/>
    <x v="167"/>
    <d v="2024-12-15T00:00:00"/>
    <s v="Cameron"/>
  </r>
  <r>
    <d v="2023-10-13T00:00:00"/>
    <x v="3"/>
    <x v="5"/>
    <n v="5"/>
    <n v="75.27"/>
    <s v="Store A"/>
    <x v="0"/>
    <n v="0"/>
    <x v="3"/>
    <n v="376.35"/>
    <x v="4"/>
    <m/>
    <n v="0"/>
    <s v="REG100602"/>
    <s v="Cust 7130"/>
    <n v="31.61"/>
    <x v="448"/>
    <d v="2023-10-22T00:00:00"/>
    <s v="Cameron"/>
  </r>
  <r>
    <d v="2024-10-03T00:00:00"/>
    <x v="1"/>
    <x v="4"/>
    <n v="3"/>
    <n v="136.15"/>
    <s v="Store A"/>
    <x v="1"/>
    <n v="0.1"/>
    <x v="4"/>
    <n v="367.60500000000008"/>
    <x v="1"/>
    <s v="SAVE10"/>
    <n v="0"/>
    <s v="REG100603"/>
    <s v="Cust 6539"/>
    <n v="48.38"/>
    <x v="449"/>
    <d v="2024-10-07T00:00:00"/>
    <s v="Sophie"/>
  </r>
  <r>
    <d v="2024-04-28T00:00:00"/>
    <x v="3"/>
    <x v="2"/>
    <n v="5"/>
    <n v="544.66"/>
    <s v="Store B"/>
    <x v="1"/>
    <n v="0.1"/>
    <x v="4"/>
    <n v="2450.9699999999998"/>
    <x v="0"/>
    <s v="SAVE10"/>
    <n v="0"/>
    <s v="REG100604"/>
    <s v="Cust 1656"/>
    <n v="8.39"/>
    <x v="450"/>
    <d v="2024-05-04T00:00:00"/>
    <s v="Cameron"/>
  </r>
  <r>
    <d v="2024-02-07T00:00:00"/>
    <x v="3"/>
    <x v="2"/>
    <n v="8"/>
    <n v="561.9"/>
    <s v="Store A"/>
    <x v="1"/>
    <n v="0.15"/>
    <x v="5"/>
    <n v="3820.92"/>
    <x v="0"/>
    <s v="FREESHIP"/>
    <n v="1"/>
    <s v="REG100605"/>
    <s v="Cust 1932"/>
    <n v="15.97"/>
    <x v="451"/>
    <d v="2024-02-14T00:00:00"/>
    <s v="Cameron"/>
  </r>
  <r>
    <d v="2023-02-08T00:00:00"/>
    <x v="1"/>
    <x v="3"/>
    <n v="20"/>
    <n v="313.47000000000003"/>
    <s v="Store C"/>
    <x v="1"/>
    <n v="0.15"/>
    <x v="1"/>
    <n v="5328.9900000000007"/>
    <x v="0"/>
    <s v="FREESHIP"/>
    <n v="0"/>
    <s v="REG100606"/>
    <s v="Cust 7367"/>
    <n v="18.170000000000002"/>
    <x v="162"/>
    <d v="2023-02-11T00:00:00"/>
    <s v="Sophie"/>
  </r>
  <r>
    <d v="2023-06-17T00:00:00"/>
    <x v="1"/>
    <x v="1"/>
    <n v="1"/>
    <n v="418.45"/>
    <s v="Store C"/>
    <x v="1"/>
    <n v="0.15"/>
    <x v="4"/>
    <n v="355.6825"/>
    <x v="4"/>
    <s v="WINTER15"/>
    <n v="0"/>
    <s v="REG100607"/>
    <s v="Cust 1116"/>
    <n v="35.58"/>
    <x v="357"/>
    <d v="2023-06-19T00:00:00"/>
    <s v="Sophie"/>
  </r>
  <r>
    <d v="2024-07-29T00:00:00"/>
    <x v="4"/>
    <x v="4"/>
    <n v="8"/>
    <n v="420.75"/>
    <s v="Store B"/>
    <x v="0"/>
    <n v="0.1"/>
    <x v="5"/>
    <n v="3029.4"/>
    <x v="0"/>
    <s v="SAVE10"/>
    <n v="1"/>
    <s v="REG100608"/>
    <s v="Cust 4464"/>
    <n v="44.61"/>
    <x v="452"/>
    <d v="2024-08-01T00:00:00"/>
    <s v="Wendy"/>
  </r>
  <r>
    <d v="2024-01-29T00:00:00"/>
    <x v="4"/>
    <x v="6"/>
    <n v="16"/>
    <n v="514.36"/>
    <s v="Store D"/>
    <x v="0"/>
    <n v="0"/>
    <x v="1"/>
    <n v="8229.76"/>
    <x v="0"/>
    <s v="SAVE10"/>
    <n v="0"/>
    <s v="REG100609"/>
    <s v="Cust 2543"/>
    <n v="40.75"/>
    <x v="282"/>
    <d v="2024-02-01T00:00:00"/>
    <s v="Wendy"/>
  </r>
  <r>
    <d v="2024-01-18T00:00:00"/>
    <x v="0"/>
    <x v="1"/>
    <n v="2"/>
    <n v="297.2"/>
    <s v="Store B"/>
    <x v="1"/>
    <n v="0.1"/>
    <x v="2"/>
    <n v="534.96"/>
    <x v="1"/>
    <s v="FREESHIP"/>
    <n v="0"/>
    <s v="REG100610"/>
    <s v="Cust 7948"/>
    <n v="8.7100000000000009"/>
    <x v="453"/>
    <d v="2024-01-23T00:00:00"/>
    <s v="Eric"/>
  </r>
  <r>
    <d v="2024-08-12T00:00:00"/>
    <x v="2"/>
    <x v="3"/>
    <n v="10"/>
    <n v="278"/>
    <s v="Store C"/>
    <x v="1"/>
    <n v="0"/>
    <x v="5"/>
    <n v="2780"/>
    <x v="2"/>
    <m/>
    <n v="0"/>
    <s v="REG100611"/>
    <s v="Cust 3199"/>
    <n v="24.25"/>
    <x v="305"/>
    <d v="2024-08-22T00:00:00"/>
    <s v="Ryan"/>
  </r>
  <r>
    <d v="2025-04-16T00:00:00"/>
    <x v="4"/>
    <x v="4"/>
    <n v="8"/>
    <n v="583.16999999999996"/>
    <s v="Store D"/>
    <x v="0"/>
    <n v="0.1"/>
    <x v="2"/>
    <n v="4198.8239999999996"/>
    <x v="2"/>
    <s v="WINTER15"/>
    <n v="0"/>
    <s v="REG100612"/>
    <s v="Cust 2800"/>
    <n v="49.18"/>
    <x v="454"/>
    <d v="2025-04-20T00:00:00"/>
    <s v="Wendy"/>
  </r>
  <r>
    <d v="2023-02-26T00:00:00"/>
    <x v="3"/>
    <x v="2"/>
    <n v="16"/>
    <n v="75.62"/>
    <s v="Store D"/>
    <x v="1"/>
    <n v="0.1"/>
    <x v="4"/>
    <n v="1088.9280000000001"/>
    <x v="4"/>
    <s v="WINTER15"/>
    <n v="0"/>
    <s v="REG100613"/>
    <s v="Cust 3863"/>
    <n v="27.39"/>
    <x v="16"/>
    <d v="2023-03-02T00:00:00"/>
    <s v="Cameron"/>
  </r>
  <r>
    <d v="2023-01-07T00:00:00"/>
    <x v="0"/>
    <x v="2"/>
    <n v="13"/>
    <n v="561.62"/>
    <s v="Store C"/>
    <x v="0"/>
    <n v="0.05"/>
    <x v="2"/>
    <n v="6936.0069999999996"/>
    <x v="1"/>
    <s v="FREESHIP"/>
    <n v="0"/>
    <s v="REG100614"/>
    <s v="Cust 8391"/>
    <n v="12.91"/>
    <x v="455"/>
    <d v="2023-01-11T00:00:00"/>
    <s v="Eric"/>
  </r>
  <r>
    <d v="2023-10-24T00:00:00"/>
    <x v="1"/>
    <x v="2"/>
    <n v="5"/>
    <n v="359.61"/>
    <s v="Store A"/>
    <x v="1"/>
    <n v="0"/>
    <x v="5"/>
    <n v="1798.05"/>
    <x v="0"/>
    <s v="FREESHIP"/>
    <n v="0"/>
    <s v="REG100615"/>
    <s v="Cust 6711"/>
    <n v="41.31"/>
    <x v="456"/>
    <d v="2023-11-03T00:00:00"/>
    <s v="Sophie"/>
  </r>
  <r>
    <d v="2024-01-02T00:00:00"/>
    <x v="2"/>
    <x v="5"/>
    <n v="15"/>
    <n v="115.48"/>
    <s v="Store A"/>
    <x v="1"/>
    <n v="0.15"/>
    <x v="2"/>
    <n v="1472.37"/>
    <x v="2"/>
    <m/>
    <n v="0"/>
    <s v="REG100616"/>
    <s v="Cust 8653"/>
    <n v="6.04"/>
    <x v="78"/>
    <d v="2024-01-12T00:00:00"/>
    <s v="Ryan"/>
  </r>
  <r>
    <d v="2024-09-17T00:00:00"/>
    <x v="1"/>
    <x v="0"/>
    <n v="12"/>
    <n v="596.26"/>
    <s v="Store D"/>
    <x v="0"/>
    <n v="0.15"/>
    <x v="0"/>
    <n v="6081.8519999999999"/>
    <x v="1"/>
    <s v="WINTER15"/>
    <n v="0"/>
    <s v="REG100617"/>
    <s v="Cust 7937"/>
    <n v="28.27"/>
    <x v="457"/>
    <d v="2024-09-25T00:00:00"/>
    <s v="Sophie"/>
  </r>
  <r>
    <d v="2024-05-05T00:00:00"/>
    <x v="3"/>
    <x v="5"/>
    <n v="19"/>
    <n v="401.68"/>
    <s v="Store C"/>
    <x v="0"/>
    <n v="0.05"/>
    <x v="1"/>
    <n v="7250.3239999999996"/>
    <x v="3"/>
    <s v="WINTER15"/>
    <n v="1"/>
    <s v="REG100618"/>
    <s v="Cust 5972"/>
    <n v="37.770000000000003"/>
    <x v="458"/>
    <d v="2024-05-11T00:00:00"/>
    <s v="Cameron"/>
  </r>
  <r>
    <d v="2025-06-27T00:00:00"/>
    <x v="4"/>
    <x v="2"/>
    <n v="13"/>
    <n v="112.88"/>
    <s v="Store D"/>
    <x v="1"/>
    <n v="0"/>
    <x v="2"/>
    <n v="1467.44"/>
    <x v="3"/>
    <m/>
    <n v="0"/>
    <s v="REG100619"/>
    <s v="Cust 8597"/>
    <n v="12.39"/>
    <x v="440"/>
    <d v="2025-06-29T00:00:00"/>
    <s v="Wendy"/>
  </r>
  <r>
    <d v="2024-05-14T00:00:00"/>
    <x v="4"/>
    <x v="1"/>
    <n v="6"/>
    <n v="370.08"/>
    <s v="Store D"/>
    <x v="1"/>
    <n v="0.15"/>
    <x v="1"/>
    <n v="1887.4079999999999"/>
    <x v="0"/>
    <s v="SAVE10"/>
    <n v="0"/>
    <s v="REG100620"/>
    <s v="Cust 5382"/>
    <n v="7.39"/>
    <x v="125"/>
    <d v="2024-05-22T00:00:00"/>
    <s v="Wendy"/>
  </r>
  <r>
    <d v="2024-02-29T00:00:00"/>
    <x v="2"/>
    <x v="3"/>
    <n v="15"/>
    <n v="119.86"/>
    <s v="Store A"/>
    <x v="0"/>
    <n v="0.15"/>
    <x v="5"/>
    <n v="1528.2149999999999"/>
    <x v="3"/>
    <m/>
    <n v="1"/>
    <s v="REG100621"/>
    <s v="Cust 4323"/>
    <n v="30.78"/>
    <x v="459"/>
    <d v="2024-03-05T00:00:00"/>
    <s v="Ryan"/>
  </r>
  <r>
    <d v="2025-05-19T00:00:00"/>
    <x v="0"/>
    <x v="1"/>
    <n v="5"/>
    <n v="271.44"/>
    <s v="Store A"/>
    <x v="0"/>
    <n v="0.15"/>
    <x v="4"/>
    <n v="1153.6199999999999"/>
    <x v="3"/>
    <s v="FREESHIP"/>
    <n v="0"/>
    <s v="REG100622"/>
    <s v="Cust 1767"/>
    <n v="5.98"/>
    <x v="460"/>
    <d v="2025-05-27T00:00:00"/>
    <s v="Eric"/>
  </r>
  <r>
    <d v="2024-12-02T00:00:00"/>
    <x v="0"/>
    <x v="2"/>
    <n v="9"/>
    <n v="363.39"/>
    <s v="Store B"/>
    <x v="0"/>
    <n v="0.05"/>
    <x v="4"/>
    <n v="3106.9845"/>
    <x v="1"/>
    <m/>
    <n v="0"/>
    <s v="REG100623"/>
    <s v="Cust 3845"/>
    <n v="41.64"/>
    <x v="461"/>
    <d v="2024-12-04T00:00:00"/>
    <s v="Eric"/>
  </r>
  <r>
    <d v="2024-07-30T00:00:00"/>
    <x v="4"/>
    <x v="6"/>
    <n v="12"/>
    <n v="533.77"/>
    <s v="Store D"/>
    <x v="0"/>
    <n v="0.15"/>
    <x v="1"/>
    <n v="5444.4539999999997"/>
    <x v="4"/>
    <s v="SAVE10"/>
    <n v="0"/>
    <s v="REG100624"/>
    <s v="Cust 5912"/>
    <n v="48.71"/>
    <x v="117"/>
    <d v="2024-08-04T00:00:00"/>
    <s v="Wendy"/>
  </r>
  <r>
    <d v="2023-06-25T00:00:00"/>
    <x v="1"/>
    <x v="2"/>
    <n v="12"/>
    <n v="192.03"/>
    <s v="Store B"/>
    <x v="0"/>
    <n v="0.1"/>
    <x v="3"/>
    <n v="2073.924"/>
    <x v="2"/>
    <m/>
    <n v="0"/>
    <s v="REG100625"/>
    <s v="Cust 4446"/>
    <n v="41.08"/>
    <x v="416"/>
    <d v="2023-07-03T00:00:00"/>
    <s v="Sophie"/>
  </r>
  <r>
    <d v="2024-07-10T00:00:00"/>
    <x v="1"/>
    <x v="3"/>
    <n v="20"/>
    <n v="504.22"/>
    <s v="Store D"/>
    <x v="0"/>
    <n v="0"/>
    <x v="2"/>
    <n v="10084.4"/>
    <x v="0"/>
    <s v="WINTER15"/>
    <n v="0"/>
    <s v="REG100626"/>
    <s v="Cust 6107"/>
    <n v="14.61"/>
    <x v="462"/>
    <d v="2024-07-19T00:00:00"/>
    <s v="Sophie"/>
  </r>
  <r>
    <d v="2023-01-06T00:00:00"/>
    <x v="0"/>
    <x v="0"/>
    <n v="7"/>
    <n v="193.66"/>
    <s v="Store A"/>
    <x v="0"/>
    <n v="0.1"/>
    <x v="4"/>
    <n v="1220.058"/>
    <x v="2"/>
    <s v="FREESHIP"/>
    <n v="0"/>
    <s v="REG100627"/>
    <s v="Cust 3330"/>
    <n v="39.01"/>
    <x v="463"/>
    <d v="2023-01-15T00:00:00"/>
    <s v="Eric"/>
  </r>
  <r>
    <d v="2024-02-24T00:00:00"/>
    <x v="1"/>
    <x v="3"/>
    <n v="3"/>
    <n v="270.83"/>
    <s v="Store B"/>
    <x v="0"/>
    <n v="0.1"/>
    <x v="3"/>
    <n v="731.24099999999999"/>
    <x v="0"/>
    <s v="SAVE10"/>
    <n v="1"/>
    <s v="REG100628"/>
    <s v="Cust 3604"/>
    <n v="17.2"/>
    <x v="62"/>
    <d v="2024-02-29T00:00:00"/>
    <s v="Sophie"/>
  </r>
  <r>
    <d v="2023-12-11T00:00:00"/>
    <x v="3"/>
    <x v="5"/>
    <n v="18"/>
    <n v="62.08"/>
    <s v="Store B"/>
    <x v="1"/>
    <n v="0"/>
    <x v="4"/>
    <n v="1117.44"/>
    <x v="2"/>
    <s v="SAVE10"/>
    <n v="1"/>
    <s v="REG100629"/>
    <s v="Cust 7412"/>
    <n v="8.67"/>
    <x v="464"/>
    <d v="2023-12-20T00:00:00"/>
    <s v="Cameron"/>
  </r>
  <r>
    <d v="2025-02-19T00:00:00"/>
    <x v="1"/>
    <x v="6"/>
    <n v="11"/>
    <n v="505.96"/>
    <s v="Store C"/>
    <x v="0"/>
    <n v="0.15"/>
    <x v="0"/>
    <n v="4730.7259999999997"/>
    <x v="3"/>
    <s v="FREESHIP"/>
    <n v="1"/>
    <s v="REG100630"/>
    <s v="Cust 5183"/>
    <n v="22.84"/>
    <x v="465"/>
    <d v="2025-02-23T00:00:00"/>
    <s v="Sophie"/>
  </r>
  <r>
    <d v="2025-03-18T00:00:00"/>
    <x v="4"/>
    <x v="5"/>
    <n v="4"/>
    <n v="62.46"/>
    <s v="Store D"/>
    <x v="0"/>
    <n v="0.15"/>
    <x v="1"/>
    <n v="212.364"/>
    <x v="3"/>
    <s v="WINTER15"/>
    <n v="0"/>
    <s v="REG100631"/>
    <s v="Cust 4825"/>
    <n v="31.91"/>
    <x v="213"/>
    <d v="2025-03-26T00:00:00"/>
    <s v="Wendy"/>
  </r>
  <r>
    <d v="2023-09-22T00:00:00"/>
    <x v="1"/>
    <x v="1"/>
    <n v="7"/>
    <n v="480.08"/>
    <s v="Store B"/>
    <x v="0"/>
    <n v="0.1"/>
    <x v="4"/>
    <n v="3024.5039999999999"/>
    <x v="0"/>
    <m/>
    <n v="1"/>
    <s v="REG100632"/>
    <s v="Cust 2123"/>
    <n v="44.37"/>
    <x v="466"/>
    <d v="2023-09-27T00:00:00"/>
    <s v="Sophie"/>
  </r>
  <r>
    <d v="2023-12-23T00:00:00"/>
    <x v="4"/>
    <x v="5"/>
    <n v="18"/>
    <n v="60.66"/>
    <s v="Store A"/>
    <x v="1"/>
    <n v="0"/>
    <x v="5"/>
    <n v="1091.8800000000001"/>
    <x v="0"/>
    <s v="FREESHIP"/>
    <n v="1"/>
    <s v="REG100633"/>
    <s v="Cust 8684"/>
    <n v="10.08"/>
    <x v="467"/>
    <d v="2023-12-28T00:00:00"/>
    <s v="Wendy"/>
  </r>
  <r>
    <d v="2025-05-04T00:00:00"/>
    <x v="2"/>
    <x v="2"/>
    <n v="6"/>
    <n v="249.09"/>
    <s v="Store B"/>
    <x v="1"/>
    <n v="0.05"/>
    <x v="2"/>
    <n v="1419.8130000000001"/>
    <x v="4"/>
    <m/>
    <n v="0"/>
    <s v="REG100634"/>
    <s v="Cust 5964"/>
    <n v="20.38"/>
    <x v="291"/>
    <d v="2025-05-10T00:00:00"/>
    <s v="Ryan"/>
  </r>
  <r>
    <d v="2025-01-11T00:00:00"/>
    <x v="0"/>
    <x v="1"/>
    <n v="20"/>
    <n v="400.05"/>
    <s v="Store D"/>
    <x v="0"/>
    <n v="0.1"/>
    <x v="4"/>
    <n v="7200.9000000000005"/>
    <x v="3"/>
    <s v="WINTER15"/>
    <n v="0"/>
    <s v="REG100635"/>
    <s v="Cust 1810"/>
    <n v="24.41"/>
    <x v="405"/>
    <d v="2025-01-13T00:00:00"/>
    <s v="Eric"/>
  </r>
  <r>
    <d v="2025-04-21T00:00:00"/>
    <x v="1"/>
    <x v="6"/>
    <n v="1"/>
    <n v="130.87"/>
    <s v="Store B"/>
    <x v="1"/>
    <n v="0.05"/>
    <x v="4"/>
    <n v="124.3265"/>
    <x v="0"/>
    <s v="WINTER15"/>
    <n v="0"/>
    <s v="REG100636"/>
    <s v="Cust 2685"/>
    <n v="43.21"/>
    <x v="468"/>
    <d v="2025-04-24T00:00:00"/>
    <s v="Sophie"/>
  </r>
  <r>
    <d v="2023-12-13T00:00:00"/>
    <x v="3"/>
    <x v="5"/>
    <n v="11"/>
    <n v="133.08000000000001"/>
    <s v="Store A"/>
    <x v="0"/>
    <n v="0.15"/>
    <x v="2"/>
    <n v="1244.298"/>
    <x v="2"/>
    <s v="WINTER15"/>
    <n v="0"/>
    <s v="REG100637"/>
    <s v="Cust 7855"/>
    <n v="44.61"/>
    <x v="469"/>
    <d v="2023-12-22T00:00:00"/>
    <s v="Cameron"/>
  </r>
  <r>
    <d v="2024-02-07T00:00:00"/>
    <x v="0"/>
    <x v="3"/>
    <n v="13"/>
    <n v="448.68"/>
    <s v="Store B"/>
    <x v="0"/>
    <n v="0.1"/>
    <x v="4"/>
    <n v="5249.5559999999996"/>
    <x v="2"/>
    <s v="FREESHIP"/>
    <n v="1"/>
    <s v="REG100638"/>
    <s v="Cust 4101"/>
    <n v="16.82"/>
    <x v="451"/>
    <d v="2024-02-11T00:00:00"/>
    <s v="Eric"/>
  </r>
  <r>
    <d v="2024-04-24T00:00:00"/>
    <x v="2"/>
    <x v="5"/>
    <n v="19"/>
    <n v="36.229999999999997"/>
    <s v="Store B"/>
    <x v="0"/>
    <n v="0"/>
    <x v="4"/>
    <n v="688.36999999999989"/>
    <x v="3"/>
    <s v="WINTER15"/>
    <n v="0"/>
    <s v="REG100639"/>
    <s v="Cust 7964"/>
    <n v="33.94"/>
    <x v="470"/>
    <d v="2024-04-27T00:00:00"/>
    <s v="Ryan"/>
  </r>
  <r>
    <d v="2023-09-11T00:00:00"/>
    <x v="4"/>
    <x v="3"/>
    <n v="14"/>
    <n v="113.77"/>
    <s v="Store C"/>
    <x v="1"/>
    <n v="0"/>
    <x v="0"/>
    <n v="1592.78"/>
    <x v="4"/>
    <s v="FREESHIP"/>
    <n v="0"/>
    <s v="REG100640"/>
    <s v="Cust 5857"/>
    <n v="25.35"/>
    <x v="471"/>
    <d v="2023-09-16T00:00:00"/>
    <s v="Wendy"/>
  </r>
  <r>
    <d v="2025-06-09T00:00:00"/>
    <x v="3"/>
    <x v="6"/>
    <n v="2"/>
    <n v="89.6"/>
    <s v="Store A"/>
    <x v="1"/>
    <n v="0"/>
    <x v="4"/>
    <n v="179.2"/>
    <x v="1"/>
    <s v="FREESHIP"/>
    <n v="0"/>
    <s v="REG100641"/>
    <s v="Cust 7010"/>
    <n v="23.69"/>
    <x v="102"/>
    <d v="2025-06-12T00:00:00"/>
    <s v="Cameron"/>
  </r>
  <r>
    <d v="2025-06-06T00:00:00"/>
    <x v="0"/>
    <x v="2"/>
    <n v="3"/>
    <n v="391.92"/>
    <s v="Store A"/>
    <x v="0"/>
    <n v="0.15"/>
    <x v="1"/>
    <n v="999.39599999999996"/>
    <x v="3"/>
    <s v="SAVE10"/>
    <n v="0"/>
    <s v="REG100642"/>
    <s v="Cust 7917"/>
    <n v="9.86"/>
    <x v="472"/>
    <d v="2025-06-16T00:00:00"/>
    <s v="Eric"/>
  </r>
  <r>
    <d v="2024-12-23T00:00:00"/>
    <x v="1"/>
    <x v="3"/>
    <n v="10"/>
    <n v="418.93"/>
    <s v="Store C"/>
    <x v="0"/>
    <n v="0.1"/>
    <x v="5"/>
    <n v="3770.37"/>
    <x v="2"/>
    <s v="FREESHIP"/>
    <n v="0"/>
    <s v="REG100643"/>
    <s v="Cust 8111"/>
    <n v="45.63"/>
    <x v="473"/>
    <d v="2024-12-28T00:00:00"/>
    <s v="Sophie"/>
  </r>
  <r>
    <d v="2023-08-27T00:00:00"/>
    <x v="0"/>
    <x v="4"/>
    <n v="12"/>
    <n v="303.08999999999997"/>
    <s v="Store B"/>
    <x v="0"/>
    <n v="0"/>
    <x v="1"/>
    <n v="3637.08"/>
    <x v="1"/>
    <s v="WINTER15"/>
    <n v="1"/>
    <s v="REG100644"/>
    <s v="Cust 4715"/>
    <n v="5.48"/>
    <x v="474"/>
    <d v="2023-09-03T00:00:00"/>
    <s v="Eric"/>
  </r>
  <r>
    <d v="2023-01-09T00:00:00"/>
    <x v="0"/>
    <x v="4"/>
    <n v="10"/>
    <n v="209.95"/>
    <s v="Store A"/>
    <x v="0"/>
    <n v="0.1"/>
    <x v="0"/>
    <n v="1889.55"/>
    <x v="4"/>
    <s v="WINTER15"/>
    <n v="0"/>
    <s v="REG100645"/>
    <s v="Cust 8720"/>
    <n v="10.99"/>
    <x v="7"/>
    <d v="2023-01-13T00:00:00"/>
    <s v="Eric"/>
  </r>
  <r>
    <d v="2025-04-22T00:00:00"/>
    <x v="0"/>
    <x v="0"/>
    <n v="8"/>
    <n v="283.63"/>
    <s v="Store C"/>
    <x v="0"/>
    <n v="0.1"/>
    <x v="1"/>
    <n v="2042.136"/>
    <x v="4"/>
    <s v="SAVE10"/>
    <n v="0"/>
    <s v="REG100646"/>
    <s v="Cust 8216"/>
    <n v="49.91"/>
    <x v="475"/>
    <d v="2025-04-25T00:00:00"/>
    <s v="Eric"/>
  </r>
  <r>
    <d v="2023-09-06T00:00:00"/>
    <x v="1"/>
    <x v="1"/>
    <n v="7"/>
    <n v="18.36"/>
    <s v="Store D"/>
    <x v="1"/>
    <n v="0.1"/>
    <x v="1"/>
    <n v="115.66800000000001"/>
    <x v="0"/>
    <m/>
    <n v="0"/>
    <s v="REG100647"/>
    <s v="Cust 6946"/>
    <n v="48.92"/>
    <x v="476"/>
    <d v="2023-09-11T00:00:00"/>
    <s v="Sophie"/>
  </r>
  <r>
    <d v="2023-01-21T00:00:00"/>
    <x v="0"/>
    <x v="4"/>
    <n v="9"/>
    <n v="475.38"/>
    <s v="Store A"/>
    <x v="0"/>
    <n v="0.1"/>
    <x v="3"/>
    <n v="3850.578"/>
    <x v="3"/>
    <s v="SAVE10"/>
    <n v="0"/>
    <s v="REG100648"/>
    <s v="Cust 9888"/>
    <n v="39.979999999999997"/>
    <x v="477"/>
    <d v="2023-01-27T00:00:00"/>
    <s v="Eric"/>
  </r>
  <r>
    <d v="2024-04-26T00:00:00"/>
    <x v="3"/>
    <x v="3"/>
    <n v="12"/>
    <n v="591.91999999999996"/>
    <s v="Store D"/>
    <x v="1"/>
    <n v="0"/>
    <x v="0"/>
    <n v="7103.0399999999991"/>
    <x v="3"/>
    <s v="SAVE10"/>
    <n v="0"/>
    <s v="REG100649"/>
    <s v="Cust 4009"/>
    <n v="25.2"/>
    <x v="478"/>
    <d v="2024-05-06T00:00:00"/>
    <s v="Cameron"/>
  </r>
  <r>
    <d v="2023-06-27T00:00:00"/>
    <x v="2"/>
    <x v="1"/>
    <n v="7"/>
    <n v="93.23"/>
    <s v="Store B"/>
    <x v="1"/>
    <n v="0.05"/>
    <x v="1"/>
    <n v="619.97950000000003"/>
    <x v="2"/>
    <s v="FREESHIP"/>
    <n v="1"/>
    <s v="REG100650"/>
    <s v="Cust 9489"/>
    <n v="6.47"/>
    <x v="161"/>
    <d v="2023-06-30T00:00:00"/>
    <s v="Ryan"/>
  </r>
  <r>
    <d v="2023-01-01T00:00:00"/>
    <x v="0"/>
    <x v="5"/>
    <n v="15"/>
    <n v="298.70999999999998"/>
    <s v="Store C"/>
    <x v="1"/>
    <n v="0"/>
    <x v="5"/>
    <n v="4480.6499999999996"/>
    <x v="3"/>
    <s v="SAVE10"/>
    <n v="0"/>
    <s v="REG100651"/>
    <s v="Cust 2446"/>
    <n v="11.38"/>
    <x v="209"/>
    <d v="2023-01-08T00:00:00"/>
    <s v="Eric"/>
  </r>
  <r>
    <d v="2023-12-30T00:00:00"/>
    <x v="4"/>
    <x v="5"/>
    <n v="15"/>
    <n v="52.37"/>
    <s v="Store A"/>
    <x v="1"/>
    <n v="0.15"/>
    <x v="4"/>
    <n v="667.71749999999997"/>
    <x v="0"/>
    <s v="SAVE10"/>
    <n v="0"/>
    <s v="REG100652"/>
    <s v="Cust 4150"/>
    <n v="8.93"/>
    <x v="479"/>
    <d v="2024-01-02T00:00:00"/>
    <s v="Wendy"/>
  </r>
  <r>
    <d v="2023-01-22T00:00:00"/>
    <x v="3"/>
    <x v="1"/>
    <n v="6"/>
    <n v="104.19"/>
    <s v="Store C"/>
    <x v="1"/>
    <n v="0.1"/>
    <x v="4"/>
    <n v="562.62599999999998"/>
    <x v="0"/>
    <m/>
    <n v="0"/>
    <s v="REG100653"/>
    <s v="Cust 3569"/>
    <n v="8.6199999999999992"/>
    <x v="229"/>
    <d v="2023-01-24T00:00:00"/>
    <s v="Cameron"/>
  </r>
  <r>
    <d v="2024-07-27T00:00:00"/>
    <x v="1"/>
    <x v="0"/>
    <n v="8"/>
    <n v="493.09"/>
    <s v="Store A"/>
    <x v="1"/>
    <n v="0.05"/>
    <x v="4"/>
    <n v="3747.483999999999"/>
    <x v="2"/>
    <s v="FREESHIP"/>
    <n v="0"/>
    <s v="REG100654"/>
    <s v="Cust 1023"/>
    <n v="11.49"/>
    <x v="480"/>
    <d v="2024-08-05T00:00:00"/>
    <s v="Sophie"/>
  </r>
  <r>
    <d v="2024-01-15T00:00:00"/>
    <x v="1"/>
    <x v="3"/>
    <n v="6"/>
    <n v="291.58"/>
    <s v="Store B"/>
    <x v="0"/>
    <n v="0"/>
    <x v="2"/>
    <n v="1749.48"/>
    <x v="2"/>
    <s v="FREESHIP"/>
    <n v="0"/>
    <s v="REG100655"/>
    <s v="Cust 3748"/>
    <n v="30.25"/>
    <x v="481"/>
    <d v="2024-01-17T00:00:00"/>
    <s v="Sophie"/>
  </r>
  <r>
    <d v="2024-01-04T00:00:00"/>
    <x v="4"/>
    <x v="5"/>
    <n v="1"/>
    <n v="103.13"/>
    <s v="Store B"/>
    <x v="0"/>
    <n v="0"/>
    <x v="5"/>
    <n v="103.13"/>
    <x v="0"/>
    <s v="FREESHIP"/>
    <n v="0"/>
    <s v="REG100656"/>
    <s v="Cust 4798"/>
    <n v="42.38"/>
    <x v="482"/>
    <d v="2024-01-14T00:00:00"/>
    <s v="Wendy"/>
  </r>
  <r>
    <d v="2023-02-09T00:00:00"/>
    <x v="0"/>
    <x v="4"/>
    <n v="1"/>
    <n v="541.9"/>
    <s v="Store A"/>
    <x v="1"/>
    <n v="0.05"/>
    <x v="0"/>
    <n v="514.80499999999995"/>
    <x v="4"/>
    <s v="WINTER15"/>
    <n v="0"/>
    <s v="REG100657"/>
    <s v="Cust 8305"/>
    <n v="40.35"/>
    <x v="483"/>
    <d v="2023-02-19T00:00:00"/>
    <s v="Eric"/>
  </r>
  <r>
    <d v="2024-06-20T00:00:00"/>
    <x v="2"/>
    <x v="1"/>
    <n v="11"/>
    <n v="303.08999999999997"/>
    <s v="Store D"/>
    <x v="0"/>
    <n v="0.1"/>
    <x v="4"/>
    <n v="3000.5909999999999"/>
    <x v="0"/>
    <s v="SAVE10"/>
    <n v="0"/>
    <s v="REG100658"/>
    <s v="Cust 3864"/>
    <n v="21.88"/>
    <x v="249"/>
    <d v="2024-06-24T00:00:00"/>
    <s v="Ryan"/>
  </r>
  <r>
    <d v="2023-02-21T00:00:00"/>
    <x v="3"/>
    <x v="2"/>
    <n v="11"/>
    <n v="61.81"/>
    <s v="Store C"/>
    <x v="1"/>
    <n v="0.05"/>
    <x v="5"/>
    <n v="645.91450000000009"/>
    <x v="1"/>
    <s v="WINTER15"/>
    <n v="0"/>
    <s v="REG100659"/>
    <s v="Cust 3459"/>
    <n v="47.95"/>
    <x v="220"/>
    <d v="2023-03-03T00:00:00"/>
    <s v="Cameron"/>
  </r>
  <r>
    <d v="2023-08-16T00:00:00"/>
    <x v="3"/>
    <x v="2"/>
    <n v="8"/>
    <n v="355.15"/>
    <s v="Store B"/>
    <x v="1"/>
    <n v="0.1"/>
    <x v="3"/>
    <n v="2557.08"/>
    <x v="0"/>
    <m/>
    <n v="1"/>
    <s v="REG100660"/>
    <s v="Cust 1187"/>
    <n v="38.590000000000003"/>
    <x v="484"/>
    <d v="2023-08-24T00:00:00"/>
    <s v="Cameron"/>
  </r>
  <r>
    <d v="2023-11-03T00:00:00"/>
    <x v="4"/>
    <x v="4"/>
    <n v="11"/>
    <n v="119.84"/>
    <s v="Store D"/>
    <x v="0"/>
    <n v="0.1"/>
    <x v="0"/>
    <n v="1186.4159999999999"/>
    <x v="0"/>
    <s v="SAVE10"/>
    <n v="0"/>
    <s v="REG100661"/>
    <s v="Cust 7509"/>
    <n v="16.64"/>
    <x v="257"/>
    <d v="2023-11-11T00:00:00"/>
    <s v="Wendy"/>
  </r>
  <r>
    <d v="2024-04-26T00:00:00"/>
    <x v="1"/>
    <x v="0"/>
    <n v="16"/>
    <n v="318.32"/>
    <s v="Store C"/>
    <x v="0"/>
    <n v="0.05"/>
    <x v="4"/>
    <n v="4838.4639999999999"/>
    <x v="2"/>
    <s v="FREESHIP"/>
    <n v="0"/>
    <s v="REG100662"/>
    <s v="Cust 1869"/>
    <n v="40.78"/>
    <x v="478"/>
    <d v="2024-05-01T00:00:00"/>
    <s v="Sophie"/>
  </r>
  <r>
    <d v="2024-10-08T00:00:00"/>
    <x v="1"/>
    <x v="2"/>
    <n v="9"/>
    <n v="446.49"/>
    <s v="Store D"/>
    <x v="0"/>
    <n v="0.15"/>
    <x v="3"/>
    <n v="3415.6484999999998"/>
    <x v="4"/>
    <s v="FREESHIP"/>
    <n v="0"/>
    <s v="REG100663"/>
    <s v="Cust 5943"/>
    <n v="5.77"/>
    <x v="485"/>
    <d v="2024-10-17T00:00:00"/>
    <s v="Sophie"/>
  </r>
  <r>
    <d v="2023-01-09T00:00:00"/>
    <x v="1"/>
    <x v="2"/>
    <n v="16"/>
    <n v="258.82"/>
    <s v="Store D"/>
    <x v="1"/>
    <n v="0.1"/>
    <x v="4"/>
    <n v="3727.0079999999998"/>
    <x v="0"/>
    <s v="SAVE10"/>
    <n v="0"/>
    <s v="REG100664"/>
    <s v="Cust 8364"/>
    <n v="46.93"/>
    <x v="7"/>
    <d v="2023-01-17T00:00:00"/>
    <s v="Sophie"/>
  </r>
  <r>
    <d v="2023-12-25T00:00:00"/>
    <x v="2"/>
    <x v="6"/>
    <n v="9"/>
    <n v="272.68"/>
    <s v="Store D"/>
    <x v="0"/>
    <n v="0.05"/>
    <x v="0"/>
    <n v="2331.4140000000002"/>
    <x v="0"/>
    <s v="SAVE10"/>
    <n v="0"/>
    <s v="REG100665"/>
    <s v="Cust 8401"/>
    <n v="16.43"/>
    <x v="486"/>
    <d v="2024-01-02T00:00:00"/>
    <s v="Ryan"/>
  </r>
  <r>
    <d v="2024-05-11T00:00:00"/>
    <x v="3"/>
    <x v="4"/>
    <n v="12"/>
    <n v="438.77"/>
    <s v="Store C"/>
    <x v="1"/>
    <n v="0"/>
    <x v="0"/>
    <n v="5265.24"/>
    <x v="3"/>
    <s v="SAVE10"/>
    <n v="0"/>
    <s v="REG100666"/>
    <s v="Cust 4047"/>
    <n v="9.31"/>
    <x v="487"/>
    <d v="2024-05-20T00:00:00"/>
    <s v="Cameron"/>
  </r>
  <r>
    <d v="2023-11-23T00:00:00"/>
    <x v="4"/>
    <x v="5"/>
    <n v="18"/>
    <n v="267.63"/>
    <s v="Store B"/>
    <x v="1"/>
    <n v="0"/>
    <x v="3"/>
    <n v="4817.34"/>
    <x v="1"/>
    <s v="SAVE10"/>
    <n v="0"/>
    <s v="REG100667"/>
    <s v="Cust 6019"/>
    <n v="44.48"/>
    <x v="488"/>
    <d v="2023-11-26T00:00:00"/>
    <s v="Wendy"/>
  </r>
  <r>
    <d v="2023-12-10T00:00:00"/>
    <x v="3"/>
    <x v="6"/>
    <n v="6"/>
    <n v="115.94"/>
    <s v="Store A"/>
    <x v="0"/>
    <n v="0.05"/>
    <x v="3"/>
    <n v="660.85799999999995"/>
    <x v="2"/>
    <s v="SAVE10"/>
    <n v="0"/>
    <s v="REG100668"/>
    <s v="Cust 8750"/>
    <n v="23.91"/>
    <x v="489"/>
    <d v="2023-12-12T00:00:00"/>
    <s v="Cameron"/>
  </r>
  <r>
    <d v="2024-02-03T00:00:00"/>
    <x v="2"/>
    <x v="6"/>
    <n v="19"/>
    <n v="275.77999999999997"/>
    <s v="Store C"/>
    <x v="1"/>
    <n v="0"/>
    <x v="2"/>
    <n v="5239.82"/>
    <x v="4"/>
    <s v="SAVE10"/>
    <n v="0"/>
    <s v="REG100669"/>
    <s v="Cust 5782"/>
    <n v="47"/>
    <x v="490"/>
    <d v="2024-02-05T00:00:00"/>
    <s v="Ryan"/>
  </r>
  <r>
    <d v="2024-11-24T00:00:00"/>
    <x v="3"/>
    <x v="3"/>
    <n v="12"/>
    <n v="255.93"/>
    <s v="Store B"/>
    <x v="1"/>
    <n v="0"/>
    <x v="0"/>
    <n v="3071.16"/>
    <x v="4"/>
    <s v="WINTER15"/>
    <n v="0"/>
    <s v="REG100670"/>
    <s v="Cust 4090"/>
    <n v="23.74"/>
    <x v="224"/>
    <d v="2024-12-04T00:00:00"/>
    <s v="Cameron"/>
  </r>
  <r>
    <d v="2024-03-06T00:00:00"/>
    <x v="4"/>
    <x v="1"/>
    <n v="1"/>
    <n v="381.21"/>
    <s v="Store D"/>
    <x v="0"/>
    <n v="0.15"/>
    <x v="5"/>
    <n v="324.02850000000001"/>
    <x v="0"/>
    <m/>
    <n v="0"/>
    <s v="REG100671"/>
    <s v="Cust 4730"/>
    <n v="9.9499999999999993"/>
    <x v="491"/>
    <d v="2024-03-11T00:00:00"/>
    <s v="Wendy"/>
  </r>
  <r>
    <d v="2025-02-01T00:00:00"/>
    <x v="1"/>
    <x v="2"/>
    <n v="5"/>
    <n v="38.229999999999997"/>
    <s v="Store C"/>
    <x v="0"/>
    <n v="0.15"/>
    <x v="5"/>
    <n v="162.47749999999999"/>
    <x v="3"/>
    <m/>
    <n v="0"/>
    <s v="REG100672"/>
    <s v="Cust 5648"/>
    <n v="21.06"/>
    <x v="492"/>
    <d v="2025-02-11T00:00:00"/>
    <s v="Sophie"/>
  </r>
  <r>
    <d v="2024-06-04T00:00:00"/>
    <x v="3"/>
    <x v="0"/>
    <n v="7"/>
    <n v="225.86"/>
    <s v="Store B"/>
    <x v="0"/>
    <n v="0"/>
    <x v="3"/>
    <n v="1581.02"/>
    <x v="3"/>
    <m/>
    <n v="0"/>
    <s v="REG100673"/>
    <s v="Cust 8933"/>
    <n v="24.48"/>
    <x v="44"/>
    <d v="2024-06-09T00:00:00"/>
    <s v="Cameron"/>
  </r>
  <r>
    <d v="2023-08-06T00:00:00"/>
    <x v="3"/>
    <x v="2"/>
    <n v="8"/>
    <n v="548.02"/>
    <s v="Store D"/>
    <x v="1"/>
    <n v="0.05"/>
    <x v="0"/>
    <n v="4164.9519999999993"/>
    <x v="0"/>
    <m/>
    <n v="0"/>
    <s v="REG100674"/>
    <s v="Cust 9280"/>
    <n v="33.4"/>
    <x v="23"/>
    <d v="2023-08-13T00:00:00"/>
    <s v="Cameron"/>
  </r>
  <r>
    <d v="2023-06-30T00:00:00"/>
    <x v="4"/>
    <x v="6"/>
    <n v="18"/>
    <n v="485.3"/>
    <s v="Store D"/>
    <x v="0"/>
    <n v="0.05"/>
    <x v="5"/>
    <n v="8298.6299999999992"/>
    <x v="3"/>
    <s v="FREESHIP"/>
    <n v="1"/>
    <s v="REG100675"/>
    <s v="Cust 8696"/>
    <n v="47.77"/>
    <x v="43"/>
    <d v="2023-07-05T00:00:00"/>
    <s v="Wendy"/>
  </r>
  <r>
    <d v="2023-02-15T00:00:00"/>
    <x v="4"/>
    <x v="6"/>
    <n v="19"/>
    <n v="414.31"/>
    <s v="Store A"/>
    <x v="1"/>
    <n v="0.1"/>
    <x v="0"/>
    <n v="7084.701"/>
    <x v="2"/>
    <s v="SAVE10"/>
    <n v="0"/>
    <s v="REG100676"/>
    <s v="Cust 1944"/>
    <n v="17.43"/>
    <x v="493"/>
    <d v="2023-02-19T00:00:00"/>
    <s v="Wendy"/>
  </r>
  <r>
    <d v="2024-01-23T00:00:00"/>
    <x v="2"/>
    <x v="6"/>
    <n v="8"/>
    <n v="50.72"/>
    <s v="Store A"/>
    <x v="0"/>
    <n v="0.05"/>
    <x v="3"/>
    <n v="385.47199999999998"/>
    <x v="3"/>
    <m/>
    <n v="0"/>
    <s v="REG100677"/>
    <s v="Cust 7780"/>
    <n v="12.35"/>
    <x v="145"/>
    <d v="2024-01-30T00:00:00"/>
    <s v="Ryan"/>
  </r>
  <r>
    <d v="2024-10-31T00:00:00"/>
    <x v="2"/>
    <x v="5"/>
    <n v="17"/>
    <n v="83.26"/>
    <s v="Store A"/>
    <x v="0"/>
    <n v="0.15"/>
    <x v="0"/>
    <n v="1203.107"/>
    <x v="4"/>
    <s v="SAVE10"/>
    <n v="0"/>
    <s v="REG100678"/>
    <s v="Cust 8055"/>
    <n v="42.68"/>
    <x v="335"/>
    <d v="2024-11-06T00:00:00"/>
    <s v="Ryan"/>
  </r>
  <r>
    <d v="2023-12-19T00:00:00"/>
    <x v="3"/>
    <x v="2"/>
    <n v="20"/>
    <n v="51.85"/>
    <s v="Store C"/>
    <x v="0"/>
    <n v="0.15"/>
    <x v="3"/>
    <n v="881.44999999999993"/>
    <x v="4"/>
    <m/>
    <n v="0"/>
    <s v="REG100679"/>
    <s v="Cust 4707"/>
    <n v="33.159999999999997"/>
    <x v="373"/>
    <d v="2023-12-21T00:00:00"/>
    <s v="Cameron"/>
  </r>
  <r>
    <d v="2023-07-04T00:00:00"/>
    <x v="1"/>
    <x v="5"/>
    <n v="12"/>
    <n v="122.51"/>
    <s v="Store B"/>
    <x v="0"/>
    <n v="0.05"/>
    <x v="4"/>
    <n v="1396.614"/>
    <x v="1"/>
    <s v="WINTER15"/>
    <n v="0"/>
    <s v="REG100680"/>
    <s v="Cust 8088"/>
    <n v="43.47"/>
    <x v="250"/>
    <d v="2023-07-06T00:00:00"/>
    <s v="Sophie"/>
  </r>
  <r>
    <d v="2024-05-16T00:00:00"/>
    <x v="0"/>
    <x v="0"/>
    <n v="11"/>
    <n v="222.13"/>
    <s v="Store D"/>
    <x v="0"/>
    <n v="0.15"/>
    <x v="0"/>
    <n v="2076.9155000000001"/>
    <x v="4"/>
    <s v="WINTER15"/>
    <n v="1"/>
    <s v="REG100681"/>
    <s v="Cust 7806"/>
    <n v="9.8800000000000008"/>
    <x v="494"/>
    <d v="2024-05-18T00:00:00"/>
    <s v="Eric"/>
  </r>
  <r>
    <d v="2023-09-16T00:00:00"/>
    <x v="2"/>
    <x v="4"/>
    <n v="8"/>
    <n v="204.84"/>
    <s v="Store C"/>
    <x v="1"/>
    <n v="0"/>
    <x v="5"/>
    <n v="1638.72"/>
    <x v="4"/>
    <m/>
    <n v="0"/>
    <s v="REG100682"/>
    <s v="Cust 7033"/>
    <n v="43.4"/>
    <x v="292"/>
    <d v="2023-09-21T00:00:00"/>
    <s v="Ryan"/>
  </r>
  <r>
    <d v="2024-11-22T00:00:00"/>
    <x v="0"/>
    <x v="3"/>
    <n v="3"/>
    <n v="536.97"/>
    <s v="Store C"/>
    <x v="0"/>
    <n v="0"/>
    <x v="3"/>
    <n v="1610.91"/>
    <x v="3"/>
    <m/>
    <n v="0"/>
    <s v="REG100683"/>
    <s v="Cust 8372"/>
    <n v="13.86"/>
    <x v="196"/>
    <d v="2024-12-01T00:00:00"/>
    <s v="Eric"/>
  </r>
  <r>
    <d v="2024-04-13T00:00:00"/>
    <x v="4"/>
    <x v="3"/>
    <n v="15"/>
    <n v="553.01"/>
    <s v="Store A"/>
    <x v="1"/>
    <n v="0.1"/>
    <x v="3"/>
    <n v="7465.6350000000002"/>
    <x v="2"/>
    <s v="SAVE10"/>
    <n v="1"/>
    <s v="REG100684"/>
    <s v="Cust 1935"/>
    <n v="23.3"/>
    <x v="495"/>
    <d v="2024-04-21T00:00:00"/>
    <s v="Wendy"/>
  </r>
  <r>
    <d v="2024-06-30T00:00:00"/>
    <x v="1"/>
    <x v="3"/>
    <n v="20"/>
    <n v="284.82"/>
    <s v="Store D"/>
    <x v="1"/>
    <n v="0.1"/>
    <x v="1"/>
    <n v="5126.76"/>
    <x v="2"/>
    <s v="WINTER15"/>
    <n v="1"/>
    <s v="REG100685"/>
    <s v="Cust 8417"/>
    <n v="27"/>
    <x v="261"/>
    <d v="2024-07-06T00:00:00"/>
    <s v="Sophie"/>
  </r>
  <r>
    <d v="2024-08-29T00:00:00"/>
    <x v="2"/>
    <x v="2"/>
    <n v="18"/>
    <n v="523.87"/>
    <s v="Store C"/>
    <x v="1"/>
    <n v="0.15"/>
    <x v="4"/>
    <n v="8015.2109999999993"/>
    <x v="1"/>
    <s v="WINTER15"/>
    <n v="0"/>
    <s v="REG100686"/>
    <s v="Cust 3370"/>
    <n v="42.63"/>
    <x v="496"/>
    <d v="2024-09-02T00:00:00"/>
    <s v="Ryan"/>
  </r>
  <r>
    <d v="2023-12-26T00:00:00"/>
    <x v="3"/>
    <x v="2"/>
    <n v="3"/>
    <n v="232.13"/>
    <s v="Store B"/>
    <x v="1"/>
    <n v="0.1"/>
    <x v="4"/>
    <n v="626.75099999999998"/>
    <x v="4"/>
    <m/>
    <n v="1"/>
    <s v="REG100687"/>
    <s v="Cust 3664"/>
    <n v="46.65"/>
    <x v="442"/>
    <d v="2023-12-31T00:00:00"/>
    <s v="Cameron"/>
  </r>
  <r>
    <d v="2025-01-30T00:00:00"/>
    <x v="2"/>
    <x v="1"/>
    <n v="17"/>
    <n v="179.32"/>
    <s v="Store A"/>
    <x v="1"/>
    <n v="0.1"/>
    <x v="5"/>
    <n v="2743.596"/>
    <x v="3"/>
    <s v="SAVE10"/>
    <n v="1"/>
    <s v="REG100688"/>
    <s v="Cust 5760"/>
    <n v="26.74"/>
    <x v="258"/>
    <d v="2025-02-06T00:00:00"/>
    <s v="Ryan"/>
  </r>
  <r>
    <d v="2023-05-17T00:00:00"/>
    <x v="1"/>
    <x v="3"/>
    <n v="1"/>
    <n v="396.35"/>
    <s v="Store B"/>
    <x v="1"/>
    <n v="0.15"/>
    <x v="2"/>
    <n v="336.89749999999998"/>
    <x v="3"/>
    <s v="SAVE10"/>
    <n v="1"/>
    <s v="REG100689"/>
    <s v="Cust 3037"/>
    <n v="19.89"/>
    <x v="497"/>
    <d v="2023-05-25T00:00:00"/>
    <s v="Sophie"/>
  </r>
  <r>
    <d v="2024-01-27T00:00:00"/>
    <x v="3"/>
    <x v="2"/>
    <n v="17"/>
    <n v="108.48"/>
    <s v="Store A"/>
    <x v="0"/>
    <n v="0.1"/>
    <x v="3"/>
    <n v="1659.7439999999999"/>
    <x v="0"/>
    <m/>
    <n v="1"/>
    <s v="REG100690"/>
    <s v="Cust 9828"/>
    <n v="48.9"/>
    <x v="498"/>
    <d v="2024-02-05T00:00:00"/>
    <s v="Cameron"/>
  </r>
  <r>
    <d v="2025-05-26T00:00:00"/>
    <x v="0"/>
    <x v="6"/>
    <n v="10"/>
    <n v="149.66999999999999"/>
    <s v="Store D"/>
    <x v="1"/>
    <n v="0.1"/>
    <x v="3"/>
    <n v="1347.03"/>
    <x v="4"/>
    <s v="FREESHIP"/>
    <n v="1"/>
    <s v="REG100691"/>
    <s v="Cust 5297"/>
    <n v="49.67"/>
    <x v="499"/>
    <d v="2025-06-02T00:00:00"/>
    <s v="Eric"/>
  </r>
  <r>
    <d v="2025-03-09T00:00:00"/>
    <x v="2"/>
    <x v="1"/>
    <n v="1"/>
    <n v="506.41"/>
    <s v="Store D"/>
    <x v="0"/>
    <n v="0"/>
    <x v="5"/>
    <n v="506.41"/>
    <x v="4"/>
    <m/>
    <n v="0"/>
    <s v="REG100692"/>
    <s v="Cust 6785"/>
    <n v="17.899999999999999"/>
    <x v="31"/>
    <d v="2025-03-17T00:00:00"/>
    <s v="Ryan"/>
  </r>
  <r>
    <d v="2024-02-22T00:00:00"/>
    <x v="4"/>
    <x v="5"/>
    <n v="6"/>
    <n v="345.9"/>
    <s v="Store B"/>
    <x v="1"/>
    <n v="0.15"/>
    <x v="2"/>
    <n v="1764.09"/>
    <x v="2"/>
    <s v="WINTER15"/>
    <n v="0"/>
    <s v="REG100693"/>
    <s v="Cust 1344"/>
    <n v="30.58"/>
    <x v="193"/>
    <d v="2024-03-03T00:00:00"/>
    <s v="Wendy"/>
  </r>
  <r>
    <d v="2025-02-03T00:00:00"/>
    <x v="0"/>
    <x v="5"/>
    <n v="15"/>
    <n v="342.04"/>
    <s v="Store C"/>
    <x v="1"/>
    <n v="0.15"/>
    <x v="4"/>
    <n v="4361.01"/>
    <x v="1"/>
    <s v="WINTER15"/>
    <n v="0"/>
    <s v="REG100694"/>
    <s v="Cust 4023"/>
    <n v="44.91"/>
    <x v="45"/>
    <d v="2025-02-08T00:00:00"/>
    <s v="Eric"/>
  </r>
  <r>
    <d v="2024-01-09T00:00:00"/>
    <x v="3"/>
    <x v="6"/>
    <n v="11"/>
    <n v="404.88"/>
    <s v="Store A"/>
    <x v="0"/>
    <n v="0.05"/>
    <x v="1"/>
    <n v="4230.9960000000001"/>
    <x v="1"/>
    <s v="SAVE10"/>
    <n v="0"/>
    <s v="REG100695"/>
    <s v="Cust 3721"/>
    <n v="18.920000000000002"/>
    <x v="46"/>
    <d v="2024-01-16T00:00:00"/>
    <s v="Cameron"/>
  </r>
  <r>
    <d v="2025-05-05T00:00:00"/>
    <x v="2"/>
    <x v="2"/>
    <n v="9"/>
    <n v="292.45999999999998"/>
    <s v="Store A"/>
    <x v="0"/>
    <n v="0.05"/>
    <x v="3"/>
    <n v="2500.5329999999999"/>
    <x v="2"/>
    <m/>
    <n v="0"/>
    <s v="REG100696"/>
    <s v="Cust 1486"/>
    <n v="34.26"/>
    <x v="500"/>
    <d v="2025-05-14T00:00:00"/>
    <s v="Ryan"/>
  </r>
  <r>
    <d v="2023-04-17T00:00:00"/>
    <x v="3"/>
    <x v="2"/>
    <n v="5"/>
    <n v="547.53"/>
    <s v="Store A"/>
    <x v="1"/>
    <n v="0.1"/>
    <x v="0"/>
    <n v="2463.8850000000002"/>
    <x v="3"/>
    <m/>
    <n v="0"/>
    <s v="REG100697"/>
    <s v="Cust 3958"/>
    <n v="24.68"/>
    <x v="417"/>
    <d v="2023-04-21T00:00:00"/>
    <s v="Cameron"/>
  </r>
  <r>
    <d v="2024-06-16T00:00:00"/>
    <x v="1"/>
    <x v="2"/>
    <n v="12"/>
    <n v="348.88"/>
    <s v="Store C"/>
    <x v="0"/>
    <n v="0"/>
    <x v="1"/>
    <n v="4186.5599999999986"/>
    <x v="2"/>
    <s v="SAVE10"/>
    <n v="0"/>
    <s v="REG100698"/>
    <s v="Cust 6914"/>
    <n v="31.28"/>
    <x v="40"/>
    <d v="2024-06-21T00:00:00"/>
    <s v="Sophie"/>
  </r>
  <r>
    <d v="2024-11-01T00:00:00"/>
    <x v="1"/>
    <x v="1"/>
    <n v="15"/>
    <n v="486.03"/>
    <s v="Store C"/>
    <x v="0"/>
    <n v="0"/>
    <x v="1"/>
    <n v="7290.45"/>
    <x v="3"/>
    <s v="WINTER15"/>
    <n v="0"/>
    <s v="REG100699"/>
    <s v="Cust 3287"/>
    <n v="14.9"/>
    <x v="501"/>
    <d v="2024-11-04T00:00:00"/>
    <s v="Sophie"/>
  </r>
  <r>
    <d v="2025-02-07T00:00:00"/>
    <x v="0"/>
    <x v="5"/>
    <n v="14"/>
    <n v="159.09"/>
    <s v="Store C"/>
    <x v="1"/>
    <n v="0.15"/>
    <x v="5"/>
    <n v="1893.171"/>
    <x v="3"/>
    <s v="FREESHIP"/>
    <n v="0"/>
    <s v="REG100700"/>
    <s v="Cust 9072"/>
    <n v="27.05"/>
    <x v="439"/>
    <d v="2025-02-10T00:00:00"/>
    <s v="Eric"/>
  </r>
  <r>
    <d v="2024-11-24T00:00:00"/>
    <x v="1"/>
    <x v="4"/>
    <n v="12"/>
    <n v="173.79"/>
    <s v="Store D"/>
    <x v="1"/>
    <n v="0.15"/>
    <x v="0"/>
    <n v="1772.6579999999999"/>
    <x v="2"/>
    <m/>
    <n v="0"/>
    <s v="REG100701"/>
    <s v="Cust 3098"/>
    <n v="21.23"/>
    <x v="224"/>
    <d v="2024-12-04T00:00:00"/>
    <s v="Sophie"/>
  </r>
  <r>
    <d v="2024-04-23T00:00:00"/>
    <x v="3"/>
    <x v="4"/>
    <n v="13"/>
    <n v="439.75"/>
    <s v="Store A"/>
    <x v="0"/>
    <n v="0"/>
    <x v="2"/>
    <n v="5716.75"/>
    <x v="0"/>
    <m/>
    <n v="1"/>
    <s v="REG100702"/>
    <s v="Cust 7942"/>
    <n v="12.23"/>
    <x v="502"/>
    <d v="2024-05-02T00:00:00"/>
    <s v="Cameron"/>
  </r>
  <r>
    <d v="2024-06-24T00:00:00"/>
    <x v="0"/>
    <x v="0"/>
    <n v="9"/>
    <n v="265.43"/>
    <s v="Store D"/>
    <x v="0"/>
    <n v="0.05"/>
    <x v="0"/>
    <n v="2269.4265"/>
    <x v="2"/>
    <s v="FREESHIP"/>
    <n v="0"/>
    <s v="REG100703"/>
    <s v="Cust 4307"/>
    <n v="40.18"/>
    <x v="503"/>
    <d v="2024-06-27T00:00:00"/>
    <s v="Eric"/>
  </r>
  <r>
    <d v="2025-06-01T00:00:00"/>
    <x v="4"/>
    <x v="4"/>
    <n v="12"/>
    <n v="290.27999999999997"/>
    <s v="Store B"/>
    <x v="1"/>
    <n v="0.1"/>
    <x v="3"/>
    <n v="3135.0239999999999"/>
    <x v="4"/>
    <s v="FREESHIP"/>
    <n v="1"/>
    <s v="REG100704"/>
    <s v="Cust 4618"/>
    <n v="5.55"/>
    <x v="216"/>
    <d v="2025-06-07T00:00:00"/>
    <s v="Wendy"/>
  </r>
  <r>
    <d v="2023-03-12T00:00:00"/>
    <x v="4"/>
    <x v="5"/>
    <n v="6"/>
    <n v="88.7"/>
    <s v="Store B"/>
    <x v="0"/>
    <n v="0"/>
    <x v="3"/>
    <n v="532.20000000000005"/>
    <x v="1"/>
    <m/>
    <n v="0"/>
    <s v="REG100705"/>
    <s v="Cust 5322"/>
    <n v="16.98"/>
    <x v="504"/>
    <d v="2023-03-14T00:00:00"/>
    <s v="Wendy"/>
  </r>
  <r>
    <d v="2024-11-11T00:00:00"/>
    <x v="3"/>
    <x v="2"/>
    <n v="2"/>
    <n v="239.69"/>
    <s v="Store C"/>
    <x v="1"/>
    <n v="0"/>
    <x v="4"/>
    <n v="479.38"/>
    <x v="2"/>
    <s v="WINTER15"/>
    <n v="0"/>
    <s v="REG100706"/>
    <s v="Cust 9873"/>
    <n v="28.96"/>
    <x v="207"/>
    <d v="2024-11-19T00:00:00"/>
    <s v="Cameron"/>
  </r>
  <r>
    <d v="2024-10-17T00:00:00"/>
    <x v="3"/>
    <x v="5"/>
    <n v="8"/>
    <n v="39.79"/>
    <s v="Store C"/>
    <x v="1"/>
    <n v="0.1"/>
    <x v="5"/>
    <n v="286.488"/>
    <x v="2"/>
    <s v="SAVE10"/>
    <n v="0"/>
    <s v="REG100707"/>
    <s v="Cust 3652"/>
    <n v="46.16"/>
    <x v="386"/>
    <d v="2024-10-26T00:00:00"/>
    <s v="Cameron"/>
  </r>
  <r>
    <d v="2023-05-10T00:00:00"/>
    <x v="0"/>
    <x v="6"/>
    <n v="18"/>
    <n v="206.8"/>
    <s v="Store A"/>
    <x v="1"/>
    <n v="0.05"/>
    <x v="2"/>
    <n v="3536.28"/>
    <x v="3"/>
    <s v="FREESHIP"/>
    <n v="1"/>
    <s v="REG100708"/>
    <s v="Cust 5569"/>
    <n v="39.25"/>
    <x v="2"/>
    <d v="2023-05-13T00:00:00"/>
    <s v="Eric"/>
  </r>
  <r>
    <d v="2023-07-29T00:00:00"/>
    <x v="0"/>
    <x v="0"/>
    <n v="18"/>
    <n v="175.81"/>
    <s v="Store C"/>
    <x v="1"/>
    <n v="0"/>
    <x v="0"/>
    <n v="3164.58"/>
    <x v="1"/>
    <s v="WINTER15"/>
    <n v="1"/>
    <s v="REG100709"/>
    <s v="Cust 5369"/>
    <n v="26.97"/>
    <x v="237"/>
    <d v="2023-08-07T00:00:00"/>
    <s v="Eric"/>
  </r>
  <r>
    <d v="2023-08-26T00:00:00"/>
    <x v="3"/>
    <x v="1"/>
    <n v="14"/>
    <n v="547.36"/>
    <s v="Store C"/>
    <x v="1"/>
    <n v="0.15"/>
    <x v="4"/>
    <n v="6513.5839999999998"/>
    <x v="0"/>
    <s v="FREESHIP"/>
    <n v="0"/>
    <s v="REG100710"/>
    <s v="Cust 9044"/>
    <n v="25.24"/>
    <x v="222"/>
    <d v="2023-08-29T00:00:00"/>
    <s v="Cameron"/>
  </r>
  <r>
    <d v="2023-12-28T00:00:00"/>
    <x v="0"/>
    <x v="0"/>
    <n v="19"/>
    <n v="374.8"/>
    <s v="Store A"/>
    <x v="1"/>
    <n v="0.05"/>
    <x v="3"/>
    <n v="6765.1399999999994"/>
    <x v="0"/>
    <s v="WINTER15"/>
    <n v="0"/>
    <s v="REG100711"/>
    <s v="Cust 1887"/>
    <n v="41.67"/>
    <x v="505"/>
    <d v="2024-01-03T00:00:00"/>
    <s v="Eric"/>
  </r>
  <r>
    <d v="2025-03-10T00:00:00"/>
    <x v="2"/>
    <x v="5"/>
    <n v="9"/>
    <n v="507.74"/>
    <s v="Store D"/>
    <x v="1"/>
    <n v="0.15"/>
    <x v="5"/>
    <n v="3884.2109999999998"/>
    <x v="4"/>
    <s v="FREESHIP"/>
    <n v="1"/>
    <s v="REG100712"/>
    <s v="Cust 1559"/>
    <n v="22.08"/>
    <x v="506"/>
    <d v="2025-03-17T00:00:00"/>
    <s v="Ryan"/>
  </r>
  <r>
    <d v="2023-09-09T00:00:00"/>
    <x v="3"/>
    <x v="2"/>
    <n v="1"/>
    <n v="223.56"/>
    <s v="Store B"/>
    <x v="0"/>
    <n v="0.15"/>
    <x v="5"/>
    <n v="190.02600000000001"/>
    <x v="2"/>
    <s v="WINTER15"/>
    <n v="0"/>
    <s v="REG100713"/>
    <s v="Cust 1722"/>
    <n v="37.840000000000003"/>
    <x v="507"/>
    <d v="2023-09-14T00:00:00"/>
    <s v="Cameron"/>
  </r>
  <r>
    <d v="2023-05-28T00:00:00"/>
    <x v="2"/>
    <x v="5"/>
    <n v="2"/>
    <n v="294.27"/>
    <s v="Store C"/>
    <x v="1"/>
    <n v="0.1"/>
    <x v="4"/>
    <n v="529.68600000000004"/>
    <x v="1"/>
    <m/>
    <n v="0"/>
    <s v="REG100714"/>
    <s v="Cust 9029"/>
    <n v="9.0500000000000007"/>
    <x v="424"/>
    <d v="2023-06-01T00:00:00"/>
    <s v="Ryan"/>
  </r>
  <r>
    <d v="2025-05-21T00:00:00"/>
    <x v="4"/>
    <x v="4"/>
    <n v="1"/>
    <n v="319.49"/>
    <s v="Store C"/>
    <x v="0"/>
    <n v="0.15"/>
    <x v="4"/>
    <n v="271.56650000000002"/>
    <x v="0"/>
    <s v="FREESHIP"/>
    <n v="1"/>
    <s v="REG100715"/>
    <s v="Cust 9555"/>
    <n v="18.100000000000001"/>
    <x v="83"/>
    <d v="2025-05-31T00:00:00"/>
    <s v="Wendy"/>
  </r>
  <r>
    <d v="2023-09-30T00:00:00"/>
    <x v="0"/>
    <x v="0"/>
    <n v="14"/>
    <n v="243.96"/>
    <s v="Store D"/>
    <x v="0"/>
    <n v="0.05"/>
    <x v="4"/>
    <n v="3244.6680000000001"/>
    <x v="0"/>
    <m/>
    <n v="1"/>
    <s v="REG100716"/>
    <s v="Cust 2484"/>
    <n v="13.24"/>
    <x v="508"/>
    <d v="2023-10-04T00:00:00"/>
    <s v="Eric"/>
  </r>
  <r>
    <d v="2024-10-08T00:00:00"/>
    <x v="1"/>
    <x v="0"/>
    <n v="6"/>
    <n v="48.48"/>
    <s v="Store D"/>
    <x v="1"/>
    <n v="0.1"/>
    <x v="4"/>
    <n v="261.79199999999997"/>
    <x v="0"/>
    <m/>
    <n v="0"/>
    <s v="REG100717"/>
    <s v="Cust 4763"/>
    <n v="6.11"/>
    <x v="485"/>
    <d v="2024-10-13T00:00:00"/>
    <s v="Sophie"/>
  </r>
  <r>
    <d v="2023-04-14T00:00:00"/>
    <x v="0"/>
    <x v="0"/>
    <n v="20"/>
    <n v="87.47"/>
    <s v="Store B"/>
    <x v="1"/>
    <n v="0"/>
    <x v="3"/>
    <n v="1749.4"/>
    <x v="0"/>
    <s v="WINTER15"/>
    <n v="0"/>
    <s v="REG100718"/>
    <s v="Cust 5016"/>
    <n v="48.48"/>
    <x v="271"/>
    <d v="2023-04-23T00:00:00"/>
    <s v="Eric"/>
  </r>
  <r>
    <d v="2023-03-05T00:00:00"/>
    <x v="1"/>
    <x v="4"/>
    <n v="17"/>
    <n v="465.6"/>
    <s v="Store C"/>
    <x v="1"/>
    <n v="0.1"/>
    <x v="5"/>
    <n v="7123.6800000000012"/>
    <x v="3"/>
    <s v="SAVE10"/>
    <n v="0"/>
    <s v="REG100719"/>
    <s v="Cust 5528"/>
    <n v="7.76"/>
    <x v="509"/>
    <d v="2023-03-10T00:00:00"/>
    <s v="Sophie"/>
  </r>
  <r>
    <d v="2024-07-17T00:00:00"/>
    <x v="2"/>
    <x v="2"/>
    <n v="17"/>
    <n v="279.38"/>
    <s v="Store B"/>
    <x v="0"/>
    <n v="0.05"/>
    <x v="2"/>
    <n v="4511.9870000000001"/>
    <x v="2"/>
    <s v="WINTER15"/>
    <n v="0"/>
    <s v="REG100720"/>
    <s v="Cust 6922"/>
    <n v="30.3"/>
    <x v="414"/>
    <d v="2024-07-20T00:00:00"/>
    <s v="Ryan"/>
  </r>
  <r>
    <d v="2024-05-20T00:00:00"/>
    <x v="2"/>
    <x v="5"/>
    <n v="16"/>
    <n v="427.68"/>
    <s v="Store A"/>
    <x v="1"/>
    <n v="0.1"/>
    <x v="3"/>
    <n v="6158.5920000000006"/>
    <x v="3"/>
    <m/>
    <n v="0"/>
    <s v="REG100721"/>
    <s v="Cust 4807"/>
    <n v="18.72"/>
    <x v="510"/>
    <d v="2024-05-29T00:00:00"/>
    <s v="Ryan"/>
  </r>
  <r>
    <d v="2025-05-06T00:00:00"/>
    <x v="2"/>
    <x v="0"/>
    <n v="15"/>
    <n v="281.73"/>
    <s v="Store B"/>
    <x v="0"/>
    <n v="0.1"/>
    <x v="5"/>
    <n v="3803.3550000000009"/>
    <x v="2"/>
    <s v="WINTER15"/>
    <n v="0"/>
    <s v="REG100722"/>
    <s v="Cust 3368"/>
    <n v="36.869999999999997"/>
    <x v="276"/>
    <d v="2025-05-10T00:00:00"/>
    <s v="Ryan"/>
  </r>
  <r>
    <d v="2023-01-15T00:00:00"/>
    <x v="2"/>
    <x v="2"/>
    <n v="15"/>
    <n v="185"/>
    <s v="Store B"/>
    <x v="0"/>
    <n v="0"/>
    <x v="1"/>
    <n v="2775"/>
    <x v="4"/>
    <s v="FREESHIP"/>
    <n v="0"/>
    <s v="REG100723"/>
    <s v="Cust 2871"/>
    <n v="29.31"/>
    <x v="511"/>
    <d v="2023-01-17T00:00:00"/>
    <s v="Ryan"/>
  </r>
  <r>
    <d v="2024-01-09T00:00:00"/>
    <x v="3"/>
    <x v="4"/>
    <n v="19"/>
    <n v="380.82"/>
    <s v="Store D"/>
    <x v="0"/>
    <n v="0.1"/>
    <x v="4"/>
    <n v="6512.0219999999999"/>
    <x v="2"/>
    <s v="SAVE10"/>
    <n v="0"/>
    <s v="REG100724"/>
    <s v="Cust 6229"/>
    <n v="48.73"/>
    <x v="46"/>
    <d v="2024-01-12T00:00:00"/>
    <s v="Cameron"/>
  </r>
  <r>
    <d v="2023-07-12T00:00:00"/>
    <x v="1"/>
    <x v="3"/>
    <n v="4"/>
    <n v="444.87"/>
    <s v="Store B"/>
    <x v="1"/>
    <n v="0.15"/>
    <x v="3"/>
    <n v="1512.558"/>
    <x v="0"/>
    <s v="FREESHIP"/>
    <n v="0"/>
    <s v="REG100725"/>
    <s v="Cust 4560"/>
    <n v="47.14"/>
    <x v="512"/>
    <d v="2023-07-21T00:00:00"/>
    <s v="Sophie"/>
  </r>
  <r>
    <d v="2025-06-21T00:00:00"/>
    <x v="0"/>
    <x v="3"/>
    <n v="7"/>
    <n v="590.79"/>
    <s v="Store B"/>
    <x v="1"/>
    <n v="0.05"/>
    <x v="0"/>
    <n v="3928.7534999999989"/>
    <x v="4"/>
    <s v="FREESHIP"/>
    <n v="1"/>
    <s v="REG100726"/>
    <s v="Cust 7099"/>
    <n v="41.39"/>
    <x v="513"/>
    <d v="2025-06-26T00:00:00"/>
    <s v="Eric"/>
  </r>
  <r>
    <d v="2024-12-29T00:00:00"/>
    <x v="2"/>
    <x v="6"/>
    <n v="5"/>
    <n v="34.58"/>
    <s v="Store A"/>
    <x v="1"/>
    <n v="0.1"/>
    <x v="2"/>
    <n v="155.61000000000001"/>
    <x v="1"/>
    <s v="WINTER15"/>
    <n v="0"/>
    <s v="REG100727"/>
    <s v="Cust 6333"/>
    <n v="27.1"/>
    <x v="514"/>
    <d v="2025-01-02T00:00:00"/>
    <s v="Ryan"/>
  </r>
  <r>
    <d v="2023-05-23T00:00:00"/>
    <x v="4"/>
    <x v="5"/>
    <n v="9"/>
    <n v="438.22"/>
    <s v="Store D"/>
    <x v="1"/>
    <n v="0.05"/>
    <x v="5"/>
    <n v="3746.7809999999999"/>
    <x v="4"/>
    <m/>
    <n v="0"/>
    <s v="REG100728"/>
    <s v="Cust 4678"/>
    <n v="22.73"/>
    <x v="515"/>
    <d v="2023-05-29T00:00:00"/>
    <s v="Wendy"/>
  </r>
  <r>
    <d v="2024-04-03T00:00:00"/>
    <x v="3"/>
    <x v="2"/>
    <n v="5"/>
    <n v="84.91"/>
    <s v="Store A"/>
    <x v="1"/>
    <n v="0.1"/>
    <x v="3"/>
    <n v="382.09500000000003"/>
    <x v="4"/>
    <s v="FREESHIP"/>
    <n v="1"/>
    <s v="REG100729"/>
    <s v="Cust 6657"/>
    <n v="29.06"/>
    <x v="516"/>
    <d v="2024-04-09T00:00:00"/>
    <s v="Cameron"/>
  </r>
  <r>
    <d v="2024-01-17T00:00:00"/>
    <x v="0"/>
    <x v="0"/>
    <n v="7"/>
    <n v="322.11"/>
    <s v="Store C"/>
    <x v="0"/>
    <n v="0.1"/>
    <x v="4"/>
    <n v="2029.2929999999999"/>
    <x v="3"/>
    <s v="SAVE10"/>
    <n v="0"/>
    <s v="REG100730"/>
    <s v="Cust 1267"/>
    <n v="19.91"/>
    <x v="517"/>
    <d v="2024-01-27T00:00:00"/>
    <s v="Eric"/>
  </r>
  <r>
    <d v="2025-04-05T00:00:00"/>
    <x v="3"/>
    <x v="4"/>
    <n v="2"/>
    <n v="231.96"/>
    <s v="Store B"/>
    <x v="1"/>
    <n v="0.1"/>
    <x v="1"/>
    <n v="417.52800000000002"/>
    <x v="3"/>
    <m/>
    <n v="1"/>
    <s v="REG100731"/>
    <s v="Cust 8150"/>
    <n v="32.659999999999997"/>
    <x v="518"/>
    <d v="2025-04-14T00:00:00"/>
    <s v="Cameron"/>
  </r>
  <r>
    <d v="2025-04-17T00:00:00"/>
    <x v="3"/>
    <x v="3"/>
    <n v="15"/>
    <n v="242.07"/>
    <s v="Store A"/>
    <x v="0"/>
    <n v="0.15"/>
    <x v="5"/>
    <n v="3086.392499999999"/>
    <x v="2"/>
    <m/>
    <n v="0"/>
    <s v="REG100732"/>
    <s v="Cust 3668"/>
    <n v="19.18"/>
    <x v="313"/>
    <d v="2025-04-23T00:00:00"/>
    <s v="Cameron"/>
  </r>
  <r>
    <d v="2024-10-12T00:00:00"/>
    <x v="3"/>
    <x v="0"/>
    <n v="2"/>
    <n v="48.02"/>
    <s v="Store C"/>
    <x v="1"/>
    <n v="0.05"/>
    <x v="3"/>
    <n v="91.238"/>
    <x v="3"/>
    <s v="FREESHIP"/>
    <n v="1"/>
    <s v="REG100733"/>
    <s v="Cust 4803"/>
    <n v="25.81"/>
    <x v="519"/>
    <d v="2024-10-15T00:00:00"/>
    <s v="Cameron"/>
  </r>
  <r>
    <d v="2024-07-27T00:00:00"/>
    <x v="3"/>
    <x v="3"/>
    <n v="1"/>
    <n v="534.28"/>
    <s v="Store D"/>
    <x v="0"/>
    <n v="0.1"/>
    <x v="0"/>
    <n v="480.85199999999998"/>
    <x v="0"/>
    <s v="FREESHIP"/>
    <n v="0"/>
    <s v="REG100734"/>
    <s v="Cust 8633"/>
    <n v="31.3"/>
    <x v="480"/>
    <d v="2024-08-01T00:00:00"/>
    <s v="Cameron"/>
  </r>
  <r>
    <d v="2025-01-10T00:00:00"/>
    <x v="4"/>
    <x v="5"/>
    <n v="3"/>
    <n v="98.15"/>
    <s v="Store D"/>
    <x v="0"/>
    <n v="0.15"/>
    <x v="4"/>
    <n v="250.2825"/>
    <x v="3"/>
    <s v="SAVE10"/>
    <n v="0"/>
    <s v="REG100735"/>
    <s v="Cust 7235"/>
    <n v="46.37"/>
    <x v="520"/>
    <d v="2025-01-18T00:00:00"/>
    <s v="Wendy"/>
  </r>
  <r>
    <d v="2024-07-25T00:00:00"/>
    <x v="1"/>
    <x v="3"/>
    <n v="12"/>
    <n v="61.85"/>
    <s v="Store D"/>
    <x v="0"/>
    <n v="0.05"/>
    <x v="1"/>
    <n v="705.09"/>
    <x v="2"/>
    <m/>
    <n v="1"/>
    <s v="REG100736"/>
    <s v="Cust 8992"/>
    <n v="24.34"/>
    <x v="245"/>
    <d v="2024-07-31T00:00:00"/>
    <s v="Sophie"/>
  </r>
  <r>
    <d v="2024-05-22T00:00:00"/>
    <x v="4"/>
    <x v="5"/>
    <n v="6"/>
    <n v="268.33999999999997"/>
    <s v="Store A"/>
    <x v="0"/>
    <n v="0.1"/>
    <x v="4"/>
    <n v="1449.0360000000001"/>
    <x v="3"/>
    <s v="WINTER15"/>
    <n v="1"/>
    <s v="REG100737"/>
    <s v="Cust 1889"/>
    <n v="35.69"/>
    <x v="521"/>
    <d v="2024-05-25T00:00:00"/>
    <s v="Wendy"/>
  </r>
  <r>
    <d v="2024-08-10T00:00:00"/>
    <x v="3"/>
    <x v="2"/>
    <n v="4"/>
    <n v="529.03"/>
    <s v="Store B"/>
    <x v="0"/>
    <n v="0.05"/>
    <x v="3"/>
    <n v="2010.3140000000001"/>
    <x v="0"/>
    <s v="SAVE10"/>
    <n v="0"/>
    <s v="REG100738"/>
    <s v="Cust 5411"/>
    <n v="25.96"/>
    <x v="218"/>
    <d v="2024-08-20T00:00:00"/>
    <s v="Cameron"/>
  </r>
  <r>
    <d v="2023-04-27T00:00:00"/>
    <x v="4"/>
    <x v="5"/>
    <n v="2"/>
    <n v="107.32"/>
    <s v="Store B"/>
    <x v="1"/>
    <n v="0.05"/>
    <x v="1"/>
    <n v="203.90799999999999"/>
    <x v="2"/>
    <m/>
    <n v="0"/>
    <s v="REG100739"/>
    <s v="Cust 3411"/>
    <n v="47.33"/>
    <x v="178"/>
    <d v="2023-04-29T00:00:00"/>
    <s v="Wendy"/>
  </r>
  <r>
    <d v="2023-06-21T00:00:00"/>
    <x v="1"/>
    <x v="5"/>
    <n v="1"/>
    <n v="500.96"/>
    <s v="Store C"/>
    <x v="0"/>
    <n v="0.05"/>
    <x v="2"/>
    <n v="475.91199999999998"/>
    <x v="0"/>
    <s v="WINTER15"/>
    <n v="0"/>
    <s v="REG100740"/>
    <s v="Cust 7449"/>
    <n v="42.1"/>
    <x v="522"/>
    <d v="2023-06-25T00:00:00"/>
    <s v="Sophie"/>
  </r>
  <r>
    <d v="2024-10-11T00:00:00"/>
    <x v="4"/>
    <x v="6"/>
    <n v="17"/>
    <n v="549.78"/>
    <s v="Store B"/>
    <x v="0"/>
    <n v="0.05"/>
    <x v="1"/>
    <n v="8878.9470000000001"/>
    <x v="2"/>
    <m/>
    <n v="1"/>
    <s v="REG100741"/>
    <s v="Cust 4788"/>
    <n v="44.42"/>
    <x v="395"/>
    <d v="2024-10-14T00:00:00"/>
    <s v="Wendy"/>
  </r>
  <r>
    <d v="2025-01-26T00:00:00"/>
    <x v="2"/>
    <x v="0"/>
    <n v="3"/>
    <n v="58.51"/>
    <s v="Store A"/>
    <x v="1"/>
    <n v="0.05"/>
    <x v="3"/>
    <n v="166.7535"/>
    <x v="4"/>
    <s v="WINTER15"/>
    <n v="0"/>
    <s v="REG100742"/>
    <s v="Cust 3564"/>
    <n v="23.57"/>
    <x v="523"/>
    <d v="2025-01-30T00:00:00"/>
    <s v="Ryan"/>
  </r>
  <r>
    <d v="2024-06-18T00:00:00"/>
    <x v="1"/>
    <x v="3"/>
    <n v="17"/>
    <n v="504.08"/>
    <s v="Store A"/>
    <x v="0"/>
    <n v="0.1"/>
    <x v="4"/>
    <n v="7712.4240000000009"/>
    <x v="0"/>
    <s v="SAVE10"/>
    <n v="0"/>
    <s v="REG100743"/>
    <s v="Cust 8018"/>
    <n v="26.47"/>
    <x v="524"/>
    <d v="2024-06-26T00:00:00"/>
    <s v="Sophie"/>
  </r>
  <r>
    <d v="2025-06-18T00:00:00"/>
    <x v="0"/>
    <x v="4"/>
    <n v="17"/>
    <n v="419.63"/>
    <s v="Store D"/>
    <x v="0"/>
    <n v="0"/>
    <x v="1"/>
    <n v="7133.71"/>
    <x v="4"/>
    <s v="SAVE10"/>
    <n v="0"/>
    <s v="REG100744"/>
    <s v="Cust 3045"/>
    <n v="17.399999999999999"/>
    <x v="324"/>
    <d v="2025-06-24T00:00:00"/>
    <s v="Eric"/>
  </r>
  <r>
    <d v="2024-10-29T00:00:00"/>
    <x v="1"/>
    <x v="0"/>
    <n v="2"/>
    <n v="267.36"/>
    <s v="Store B"/>
    <x v="0"/>
    <n v="0.05"/>
    <x v="2"/>
    <n v="507.98399999999998"/>
    <x v="0"/>
    <m/>
    <n v="0"/>
    <s v="REG100745"/>
    <s v="Cust 7020"/>
    <n v="21.36"/>
    <x v="525"/>
    <d v="2024-11-07T00:00:00"/>
    <s v="Sophie"/>
  </r>
  <r>
    <d v="2025-04-08T00:00:00"/>
    <x v="3"/>
    <x v="1"/>
    <n v="2"/>
    <n v="298.06"/>
    <s v="Store B"/>
    <x v="0"/>
    <n v="0"/>
    <x v="1"/>
    <n v="596.12"/>
    <x v="3"/>
    <s v="SAVE10"/>
    <n v="1"/>
    <s v="REG100746"/>
    <s v="Cust 1905"/>
    <n v="35.369999999999997"/>
    <x v="409"/>
    <d v="2025-04-14T00:00:00"/>
    <s v="Cameron"/>
  </r>
  <r>
    <d v="2023-01-31T00:00:00"/>
    <x v="3"/>
    <x v="5"/>
    <n v="13"/>
    <n v="132.97"/>
    <s v="Store B"/>
    <x v="0"/>
    <n v="0.05"/>
    <x v="2"/>
    <n v="1642.1795"/>
    <x v="3"/>
    <s v="WINTER15"/>
    <n v="0"/>
    <s v="REG100747"/>
    <s v="Cust 4592"/>
    <n v="42.87"/>
    <x v="526"/>
    <d v="2023-02-05T00:00:00"/>
    <s v="Cameron"/>
  </r>
  <r>
    <d v="2024-03-15T00:00:00"/>
    <x v="4"/>
    <x v="3"/>
    <n v="14"/>
    <n v="476.28"/>
    <s v="Store A"/>
    <x v="0"/>
    <n v="0.1"/>
    <x v="0"/>
    <n v="6001.1280000000006"/>
    <x v="2"/>
    <s v="FREESHIP"/>
    <n v="0"/>
    <s v="REG100748"/>
    <s v="Cust 5482"/>
    <n v="22.11"/>
    <x v="107"/>
    <d v="2024-03-20T00:00:00"/>
    <s v="Wendy"/>
  </r>
  <r>
    <d v="2023-06-23T00:00:00"/>
    <x v="2"/>
    <x v="5"/>
    <n v="16"/>
    <n v="294.88"/>
    <s v="Store B"/>
    <x v="1"/>
    <n v="0.05"/>
    <x v="2"/>
    <n v="4482.1759999999986"/>
    <x v="4"/>
    <m/>
    <n v="1"/>
    <s v="REG100749"/>
    <s v="Cust 1947"/>
    <n v="17.190000000000001"/>
    <x v="366"/>
    <d v="2023-06-27T00:00:00"/>
    <s v="Ryan"/>
  </r>
  <r>
    <d v="2024-06-14T00:00:00"/>
    <x v="2"/>
    <x v="4"/>
    <n v="19"/>
    <n v="596.03"/>
    <s v="Store C"/>
    <x v="1"/>
    <n v="0.15"/>
    <x v="0"/>
    <n v="9625.8845000000001"/>
    <x v="3"/>
    <m/>
    <n v="0"/>
    <s v="REG100750"/>
    <s v="Cust 2801"/>
    <n v="31.95"/>
    <x v="392"/>
    <d v="2024-06-23T00:00:00"/>
    <s v="Ryan"/>
  </r>
  <r>
    <d v="2023-11-30T00:00:00"/>
    <x v="4"/>
    <x v="2"/>
    <n v="6"/>
    <n v="182.4"/>
    <s v="Store B"/>
    <x v="0"/>
    <n v="0"/>
    <x v="1"/>
    <n v="1094.4000000000001"/>
    <x v="0"/>
    <s v="FREESHIP"/>
    <n v="1"/>
    <s v="REG100751"/>
    <s v="Cust 8206"/>
    <n v="49.49"/>
    <x v="18"/>
    <d v="2023-12-09T00:00:00"/>
    <s v="Wendy"/>
  </r>
  <r>
    <d v="2024-04-21T00:00:00"/>
    <x v="2"/>
    <x v="0"/>
    <n v="10"/>
    <n v="400.95"/>
    <s v="Store C"/>
    <x v="1"/>
    <n v="0.05"/>
    <x v="3"/>
    <n v="3809.0250000000001"/>
    <x v="0"/>
    <m/>
    <n v="0"/>
    <s v="REG100752"/>
    <s v="Cust 5277"/>
    <n v="17.46"/>
    <x v="93"/>
    <d v="2024-04-30T00:00:00"/>
    <s v="Ryan"/>
  </r>
  <r>
    <d v="2023-08-06T00:00:00"/>
    <x v="0"/>
    <x v="2"/>
    <n v="7"/>
    <n v="373.66"/>
    <s v="Store B"/>
    <x v="1"/>
    <n v="0.05"/>
    <x v="1"/>
    <n v="2484.8389999999999"/>
    <x v="1"/>
    <s v="SAVE10"/>
    <n v="0"/>
    <s v="REG100753"/>
    <s v="Cust 8900"/>
    <n v="46.33"/>
    <x v="23"/>
    <d v="2023-08-12T00:00:00"/>
    <s v="Eric"/>
  </r>
  <r>
    <d v="2024-06-21T00:00:00"/>
    <x v="4"/>
    <x v="2"/>
    <n v="7"/>
    <n v="355.66"/>
    <s v="Store C"/>
    <x v="1"/>
    <n v="0.15"/>
    <x v="3"/>
    <n v="2116.1770000000001"/>
    <x v="1"/>
    <s v="FREESHIP"/>
    <n v="1"/>
    <s v="REG100754"/>
    <s v="Cust 9387"/>
    <n v="28.77"/>
    <x v="378"/>
    <d v="2024-06-27T00:00:00"/>
    <s v="Wendy"/>
  </r>
  <r>
    <d v="2025-03-16T00:00:00"/>
    <x v="2"/>
    <x v="5"/>
    <n v="12"/>
    <n v="260.31"/>
    <s v="Store C"/>
    <x v="1"/>
    <n v="0.1"/>
    <x v="5"/>
    <n v="2811.348"/>
    <x v="4"/>
    <s v="SAVE10"/>
    <n v="0"/>
    <s v="REG100755"/>
    <s v="Cust 7013"/>
    <n v="14.58"/>
    <x v="527"/>
    <d v="2025-03-24T00:00:00"/>
    <s v="Ryan"/>
  </r>
  <r>
    <d v="2024-04-20T00:00:00"/>
    <x v="4"/>
    <x v="5"/>
    <n v="10"/>
    <n v="370.99"/>
    <s v="Store B"/>
    <x v="1"/>
    <n v="0.15"/>
    <x v="2"/>
    <n v="3153.415"/>
    <x v="0"/>
    <s v="SAVE10"/>
    <n v="1"/>
    <s v="REG100756"/>
    <s v="Cust 4868"/>
    <n v="11.16"/>
    <x v="528"/>
    <d v="2024-04-25T00:00:00"/>
    <s v="Wendy"/>
  </r>
  <r>
    <d v="2024-12-20T00:00:00"/>
    <x v="0"/>
    <x v="0"/>
    <n v="2"/>
    <n v="548.72"/>
    <s v="Store A"/>
    <x v="0"/>
    <n v="0.1"/>
    <x v="2"/>
    <n v="987.69600000000003"/>
    <x v="2"/>
    <s v="FREESHIP"/>
    <n v="1"/>
    <s v="REG100757"/>
    <s v="Cust 5239"/>
    <n v="26.35"/>
    <x v="529"/>
    <d v="2024-12-29T00:00:00"/>
    <s v="Eric"/>
  </r>
  <r>
    <d v="2023-08-22T00:00:00"/>
    <x v="2"/>
    <x v="6"/>
    <n v="8"/>
    <n v="343.53"/>
    <s v="Store A"/>
    <x v="0"/>
    <n v="0"/>
    <x v="2"/>
    <n v="2748.24"/>
    <x v="4"/>
    <m/>
    <n v="0"/>
    <s v="REG100758"/>
    <s v="Cust 4703"/>
    <n v="16.100000000000001"/>
    <x v="530"/>
    <d v="2023-09-01T00:00:00"/>
    <s v="Ryan"/>
  </r>
  <r>
    <d v="2023-03-04T00:00:00"/>
    <x v="2"/>
    <x v="5"/>
    <n v="13"/>
    <n v="494.78"/>
    <s v="Store A"/>
    <x v="0"/>
    <n v="0.15"/>
    <x v="4"/>
    <n v="5467.3190000000004"/>
    <x v="4"/>
    <s v="FREESHIP"/>
    <n v="0"/>
    <s v="REG100759"/>
    <s v="Cust 7224"/>
    <n v="5.85"/>
    <x v="332"/>
    <d v="2023-03-13T00:00:00"/>
    <s v="Ryan"/>
  </r>
  <r>
    <d v="2024-06-24T00:00:00"/>
    <x v="2"/>
    <x v="0"/>
    <n v="9"/>
    <n v="36.619999999999997"/>
    <s v="Store B"/>
    <x v="0"/>
    <n v="0.1"/>
    <x v="0"/>
    <n v="296.62200000000001"/>
    <x v="3"/>
    <s v="FREESHIP"/>
    <n v="1"/>
    <s v="REG100760"/>
    <s v="Cust 4751"/>
    <n v="29.9"/>
    <x v="503"/>
    <d v="2024-07-01T00:00:00"/>
    <s v="Ryan"/>
  </r>
  <r>
    <d v="2024-12-09T00:00:00"/>
    <x v="0"/>
    <x v="5"/>
    <n v="14"/>
    <n v="216.2"/>
    <s v="Store C"/>
    <x v="0"/>
    <n v="0"/>
    <x v="4"/>
    <n v="3026.8"/>
    <x v="0"/>
    <s v="WINTER15"/>
    <n v="0"/>
    <s v="REG100761"/>
    <s v="Cust 1201"/>
    <n v="14.39"/>
    <x v="531"/>
    <d v="2024-12-13T00:00:00"/>
    <s v="Eric"/>
  </r>
  <r>
    <d v="2024-07-04T00:00:00"/>
    <x v="4"/>
    <x v="0"/>
    <n v="11"/>
    <n v="128.99"/>
    <s v="Store A"/>
    <x v="1"/>
    <n v="0.05"/>
    <x v="4"/>
    <n v="1347.9455"/>
    <x v="3"/>
    <s v="SAVE10"/>
    <n v="0"/>
    <s v="REG100762"/>
    <s v="Cust 9584"/>
    <n v="38.58"/>
    <x v="532"/>
    <d v="2024-07-07T00:00:00"/>
    <s v="Wendy"/>
  </r>
  <r>
    <d v="2025-03-04T00:00:00"/>
    <x v="0"/>
    <x v="1"/>
    <n v="11"/>
    <n v="183.11"/>
    <s v="Store B"/>
    <x v="1"/>
    <n v="0.15"/>
    <x v="2"/>
    <n v="1712.0785000000001"/>
    <x v="1"/>
    <s v="FREESHIP"/>
    <n v="0"/>
    <s v="REG100763"/>
    <s v="Cust 6980"/>
    <n v="41.83"/>
    <x v="155"/>
    <d v="2025-03-06T00:00:00"/>
    <s v="Eric"/>
  </r>
  <r>
    <d v="2024-01-22T00:00:00"/>
    <x v="0"/>
    <x v="6"/>
    <n v="11"/>
    <n v="277.95"/>
    <s v="Store A"/>
    <x v="1"/>
    <n v="0.05"/>
    <x v="2"/>
    <n v="2904.5774999999999"/>
    <x v="1"/>
    <s v="WINTER15"/>
    <n v="0"/>
    <s v="REG100764"/>
    <s v="Cust 2835"/>
    <n v="44.04"/>
    <x v="115"/>
    <d v="2024-01-29T00:00:00"/>
    <s v="Eric"/>
  </r>
  <r>
    <d v="2025-03-12T00:00:00"/>
    <x v="0"/>
    <x v="2"/>
    <n v="14"/>
    <n v="554.08000000000004"/>
    <s v="Store A"/>
    <x v="1"/>
    <n v="0.05"/>
    <x v="4"/>
    <n v="7369.2640000000001"/>
    <x v="4"/>
    <m/>
    <n v="0"/>
    <s v="REG100765"/>
    <s v="Cust 4286"/>
    <n v="36.72"/>
    <x v="533"/>
    <d v="2025-03-21T00:00:00"/>
    <s v="Eric"/>
  </r>
  <r>
    <d v="2025-02-28T00:00:00"/>
    <x v="3"/>
    <x v="1"/>
    <n v="15"/>
    <n v="23.32"/>
    <s v="Store A"/>
    <x v="1"/>
    <n v="0.05"/>
    <x v="3"/>
    <n v="332.31"/>
    <x v="3"/>
    <m/>
    <n v="0"/>
    <s v="REG100766"/>
    <s v="Cust 7876"/>
    <n v="25.27"/>
    <x v="376"/>
    <d v="2025-03-03T00:00:00"/>
    <s v="Cameron"/>
  </r>
  <r>
    <d v="2024-05-23T00:00:00"/>
    <x v="0"/>
    <x v="2"/>
    <n v="4"/>
    <n v="20.96"/>
    <s v="Store D"/>
    <x v="0"/>
    <n v="0.05"/>
    <x v="5"/>
    <n v="79.647999999999996"/>
    <x v="0"/>
    <s v="FREESHIP"/>
    <n v="1"/>
    <s v="REG100767"/>
    <s v="Cust 5926"/>
    <n v="33.67"/>
    <x v="24"/>
    <d v="2024-05-31T00:00:00"/>
    <s v="Eric"/>
  </r>
  <r>
    <d v="2023-09-17T00:00:00"/>
    <x v="2"/>
    <x v="2"/>
    <n v="18"/>
    <n v="132.29"/>
    <s v="Store A"/>
    <x v="0"/>
    <n v="0.05"/>
    <x v="4"/>
    <n v="2262.1590000000001"/>
    <x v="2"/>
    <m/>
    <n v="1"/>
    <s v="REG100768"/>
    <s v="Cust 4478"/>
    <n v="24.3"/>
    <x v="121"/>
    <d v="2023-09-20T00:00:00"/>
    <s v="Ryan"/>
  </r>
  <r>
    <d v="2023-06-13T00:00:00"/>
    <x v="0"/>
    <x v="1"/>
    <n v="19"/>
    <n v="199.65"/>
    <s v="Store A"/>
    <x v="1"/>
    <n v="0.1"/>
    <x v="3"/>
    <n v="3414.0149999999999"/>
    <x v="4"/>
    <s v="SAVE10"/>
    <n v="1"/>
    <s v="REG100769"/>
    <s v="Cust 4711"/>
    <n v="35.119999999999997"/>
    <x v="343"/>
    <d v="2023-06-18T00:00:00"/>
    <s v="Eric"/>
  </r>
  <r>
    <d v="2025-05-31T00:00:00"/>
    <x v="4"/>
    <x v="1"/>
    <n v="16"/>
    <n v="307"/>
    <s v="Store A"/>
    <x v="0"/>
    <n v="0"/>
    <x v="5"/>
    <n v="4912"/>
    <x v="3"/>
    <s v="FREESHIP"/>
    <n v="0"/>
    <s v="REG100770"/>
    <s v="Cust 9227"/>
    <n v="11.99"/>
    <x v="534"/>
    <d v="2025-06-02T00:00:00"/>
    <s v="Wendy"/>
  </r>
  <r>
    <d v="2023-10-11T00:00:00"/>
    <x v="0"/>
    <x v="5"/>
    <n v="1"/>
    <n v="315.93"/>
    <s v="Store C"/>
    <x v="1"/>
    <n v="0.15"/>
    <x v="1"/>
    <n v="268.54050000000001"/>
    <x v="2"/>
    <s v="SAVE10"/>
    <n v="0"/>
    <s v="REG100771"/>
    <s v="Cust 2830"/>
    <n v="43.2"/>
    <x v="535"/>
    <d v="2023-10-14T00:00:00"/>
    <s v="Eric"/>
  </r>
  <r>
    <d v="2023-08-07T00:00:00"/>
    <x v="4"/>
    <x v="6"/>
    <n v="5"/>
    <n v="596.97"/>
    <s v="Store A"/>
    <x v="1"/>
    <n v="0"/>
    <x v="0"/>
    <n v="2984.85"/>
    <x v="4"/>
    <s v="SAVE10"/>
    <n v="0"/>
    <s v="REG100772"/>
    <s v="Cust 3767"/>
    <n v="14.43"/>
    <x v="536"/>
    <d v="2023-08-14T00:00:00"/>
    <s v="Wendy"/>
  </r>
  <r>
    <d v="2023-12-03T00:00:00"/>
    <x v="2"/>
    <x v="0"/>
    <n v="17"/>
    <n v="376.98"/>
    <s v="Store A"/>
    <x v="1"/>
    <n v="0.05"/>
    <x v="3"/>
    <n v="6088.2269999999999"/>
    <x v="3"/>
    <m/>
    <n v="1"/>
    <s v="REG100773"/>
    <s v="Cust 1561"/>
    <n v="38.479999999999997"/>
    <x v="388"/>
    <d v="2023-12-05T00:00:00"/>
    <s v="Ryan"/>
  </r>
  <r>
    <d v="2024-08-01T00:00:00"/>
    <x v="3"/>
    <x v="6"/>
    <n v="6"/>
    <n v="208.64"/>
    <s v="Store D"/>
    <x v="1"/>
    <n v="0.1"/>
    <x v="2"/>
    <n v="1126.6559999999999"/>
    <x v="2"/>
    <s v="FREESHIP"/>
    <n v="0"/>
    <s v="REG100774"/>
    <s v="Cust 8569"/>
    <n v="49.93"/>
    <x v="537"/>
    <d v="2024-08-04T00:00:00"/>
    <s v="Cameron"/>
  </r>
  <r>
    <d v="2023-03-20T00:00:00"/>
    <x v="0"/>
    <x v="3"/>
    <n v="7"/>
    <n v="307.82"/>
    <s v="Store B"/>
    <x v="0"/>
    <n v="0"/>
    <x v="0"/>
    <n v="2154.7399999999998"/>
    <x v="3"/>
    <s v="WINTER15"/>
    <n v="1"/>
    <s v="REG100775"/>
    <s v="Cust 1254"/>
    <n v="14"/>
    <x v="538"/>
    <d v="2023-03-27T00:00:00"/>
    <s v="Eric"/>
  </r>
  <r>
    <d v="2025-06-30T00:00:00"/>
    <x v="3"/>
    <x v="5"/>
    <n v="13"/>
    <n v="382.48"/>
    <s v="Store D"/>
    <x v="1"/>
    <n v="0.05"/>
    <x v="0"/>
    <n v="4723.6279999999997"/>
    <x v="2"/>
    <s v="WINTER15"/>
    <n v="0"/>
    <s v="REG100776"/>
    <s v="Cust 8556"/>
    <n v="7.59"/>
    <x v="148"/>
    <d v="2025-07-04T00:00:00"/>
    <s v="Cameron"/>
  </r>
  <r>
    <d v="2025-02-05T00:00:00"/>
    <x v="1"/>
    <x v="2"/>
    <n v="9"/>
    <n v="188.03"/>
    <s v="Store B"/>
    <x v="1"/>
    <n v="0"/>
    <x v="2"/>
    <n v="1692.27"/>
    <x v="4"/>
    <s v="FREESHIP"/>
    <n v="0"/>
    <s v="REG100777"/>
    <s v="Cust 7204"/>
    <n v="11.44"/>
    <x v="317"/>
    <d v="2025-02-07T00:00:00"/>
    <s v="Sophie"/>
  </r>
  <r>
    <d v="2024-05-19T00:00:00"/>
    <x v="0"/>
    <x v="2"/>
    <n v="17"/>
    <n v="238.17"/>
    <s v="Store D"/>
    <x v="0"/>
    <n v="0.15"/>
    <x v="2"/>
    <n v="3441.5565000000001"/>
    <x v="4"/>
    <s v="FREESHIP"/>
    <n v="0"/>
    <s v="REG100778"/>
    <s v="Cust 7725"/>
    <n v="21.64"/>
    <x v="539"/>
    <d v="2024-05-29T00:00:00"/>
    <s v="Eric"/>
  </r>
  <r>
    <d v="2023-03-04T00:00:00"/>
    <x v="2"/>
    <x v="6"/>
    <n v="10"/>
    <n v="450.71"/>
    <s v="Store B"/>
    <x v="1"/>
    <n v="0.1"/>
    <x v="5"/>
    <n v="4056.389999999999"/>
    <x v="1"/>
    <s v="SAVE10"/>
    <n v="0"/>
    <s v="REG100779"/>
    <s v="Cust 9210"/>
    <n v="21.31"/>
    <x v="332"/>
    <d v="2023-03-12T00:00:00"/>
    <s v="Ryan"/>
  </r>
  <r>
    <d v="2023-01-22T00:00:00"/>
    <x v="3"/>
    <x v="4"/>
    <n v="2"/>
    <n v="413.36"/>
    <s v="Store D"/>
    <x v="1"/>
    <n v="0.1"/>
    <x v="1"/>
    <n v="744.048"/>
    <x v="0"/>
    <s v="SAVE10"/>
    <n v="1"/>
    <s v="REG100780"/>
    <s v="Cust 9085"/>
    <n v="41.69"/>
    <x v="229"/>
    <d v="2023-01-24T00:00:00"/>
    <s v="Cameron"/>
  </r>
  <r>
    <d v="2023-03-20T00:00:00"/>
    <x v="1"/>
    <x v="1"/>
    <n v="20"/>
    <n v="536.71"/>
    <s v="Store B"/>
    <x v="1"/>
    <n v="0.15"/>
    <x v="3"/>
    <n v="9124.07"/>
    <x v="3"/>
    <s v="SAVE10"/>
    <n v="0"/>
    <s v="REG100781"/>
    <s v="Cust 4937"/>
    <n v="41.42"/>
    <x v="538"/>
    <d v="2023-03-25T00:00:00"/>
    <s v="Sophie"/>
  </r>
  <r>
    <d v="2024-06-05T00:00:00"/>
    <x v="4"/>
    <x v="1"/>
    <n v="5"/>
    <n v="206.42"/>
    <s v="Store D"/>
    <x v="1"/>
    <n v="0.05"/>
    <x v="1"/>
    <n v="980.49499999999989"/>
    <x v="3"/>
    <s v="WINTER15"/>
    <n v="0"/>
    <s v="REG100782"/>
    <s v="Cust 3606"/>
    <n v="35.51"/>
    <x v="410"/>
    <d v="2024-06-13T00:00:00"/>
    <s v="Wendy"/>
  </r>
  <r>
    <d v="2024-07-09T00:00:00"/>
    <x v="0"/>
    <x v="6"/>
    <n v="4"/>
    <n v="256.83"/>
    <s v="Store A"/>
    <x v="0"/>
    <n v="0.15"/>
    <x v="3"/>
    <n v="873.22199999999987"/>
    <x v="4"/>
    <m/>
    <n v="1"/>
    <s v="REG100783"/>
    <s v="Cust 5865"/>
    <n v="44.72"/>
    <x v="540"/>
    <d v="2024-07-17T00:00:00"/>
    <s v="Eric"/>
  </r>
  <r>
    <d v="2025-03-08T00:00:00"/>
    <x v="1"/>
    <x v="4"/>
    <n v="1"/>
    <n v="247.04"/>
    <s v="Store C"/>
    <x v="0"/>
    <n v="0"/>
    <x v="5"/>
    <n v="247.04"/>
    <x v="2"/>
    <s v="FREESHIP"/>
    <n v="0"/>
    <s v="REG100784"/>
    <s v="Cust 7195"/>
    <n v="26.86"/>
    <x v="251"/>
    <d v="2025-03-13T00:00:00"/>
    <s v="Sophie"/>
  </r>
  <r>
    <d v="2025-06-21T00:00:00"/>
    <x v="1"/>
    <x v="5"/>
    <n v="3"/>
    <n v="583.38"/>
    <s v="Store B"/>
    <x v="1"/>
    <n v="0.15"/>
    <x v="4"/>
    <n v="1487.6189999999999"/>
    <x v="4"/>
    <s v="WINTER15"/>
    <n v="1"/>
    <s v="REG100785"/>
    <s v="Cust 6113"/>
    <n v="30.12"/>
    <x v="513"/>
    <d v="2025-06-30T00:00:00"/>
    <s v="Sophie"/>
  </r>
  <r>
    <d v="2025-06-28T00:00:00"/>
    <x v="2"/>
    <x v="5"/>
    <n v="13"/>
    <n v="341.38"/>
    <s v="Store C"/>
    <x v="1"/>
    <n v="0.15"/>
    <x v="1"/>
    <n v="3772.2489999999989"/>
    <x v="4"/>
    <m/>
    <n v="0"/>
    <s v="REG100786"/>
    <s v="Cust 9878"/>
    <n v="18.2"/>
    <x v="541"/>
    <d v="2025-07-01T00:00:00"/>
    <s v="Ryan"/>
  </r>
  <r>
    <d v="2025-04-05T00:00:00"/>
    <x v="4"/>
    <x v="3"/>
    <n v="19"/>
    <n v="267.02999999999997"/>
    <s v="Store D"/>
    <x v="0"/>
    <n v="0.15"/>
    <x v="5"/>
    <n v="4312.5344999999998"/>
    <x v="0"/>
    <s v="SAVE10"/>
    <n v="1"/>
    <s v="REG100787"/>
    <s v="Cust 3936"/>
    <n v="35.82"/>
    <x v="518"/>
    <d v="2025-04-13T00:00:00"/>
    <s v="Wendy"/>
  </r>
  <r>
    <d v="2024-03-05T00:00:00"/>
    <x v="1"/>
    <x v="6"/>
    <n v="7"/>
    <n v="77.69"/>
    <s v="Store D"/>
    <x v="0"/>
    <n v="0"/>
    <x v="3"/>
    <n v="543.82999999999993"/>
    <x v="2"/>
    <s v="SAVE10"/>
    <n v="0"/>
    <s v="REG100788"/>
    <s v="Cust 3937"/>
    <n v="41.89"/>
    <x v="337"/>
    <d v="2024-03-12T00:00:00"/>
    <s v="Sophie"/>
  </r>
  <r>
    <d v="2024-03-09T00:00:00"/>
    <x v="0"/>
    <x v="1"/>
    <n v="20"/>
    <n v="312.43"/>
    <s v="Store C"/>
    <x v="1"/>
    <n v="0"/>
    <x v="3"/>
    <n v="6248.6"/>
    <x v="2"/>
    <s v="SAVE10"/>
    <n v="0"/>
    <s v="REG100789"/>
    <s v="Cust 5262"/>
    <n v="28.11"/>
    <x v="542"/>
    <d v="2024-03-11T00:00:00"/>
    <s v="Eric"/>
  </r>
  <r>
    <d v="2025-02-25T00:00:00"/>
    <x v="3"/>
    <x v="4"/>
    <n v="19"/>
    <n v="14.1"/>
    <s v="Store C"/>
    <x v="0"/>
    <n v="0.05"/>
    <x v="3"/>
    <n v="254.505"/>
    <x v="4"/>
    <s v="FREESHIP"/>
    <n v="0"/>
    <s v="REG100790"/>
    <s v="Cust 3892"/>
    <n v="37.840000000000003"/>
    <x v="296"/>
    <d v="2025-02-28T00:00:00"/>
    <s v="Cameron"/>
  </r>
  <r>
    <d v="2024-11-16T00:00:00"/>
    <x v="4"/>
    <x v="5"/>
    <n v="17"/>
    <n v="266.83"/>
    <s v="Store D"/>
    <x v="1"/>
    <n v="0.05"/>
    <x v="2"/>
    <n v="4309.3044999999993"/>
    <x v="2"/>
    <s v="WINTER15"/>
    <n v="0"/>
    <s v="REG100791"/>
    <s v="Cust 8826"/>
    <n v="32.520000000000003"/>
    <x v="85"/>
    <d v="2024-11-23T00:00:00"/>
    <s v="Wendy"/>
  </r>
  <r>
    <d v="2024-08-01T00:00:00"/>
    <x v="1"/>
    <x v="6"/>
    <n v="20"/>
    <n v="248.11"/>
    <s v="Store D"/>
    <x v="0"/>
    <n v="0.05"/>
    <x v="3"/>
    <n v="4714.09"/>
    <x v="0"/>
    <s v="SAVE10"/>
    <n v="0"/>
    <s v="REG100792"/>
    <s v="Cust 1119"/>
    <n v="22.96"/>
    <x v="537"/>
    <d v="2024-08-06T00:00:00"/>
    <s v="Sophie"/>
  </r>
  <r>
    <d v="2024-04-20T00:00:00"/>
    <x v="4"/>
    <x v="3"/>
    <n v="5"/>
    <n v="316.76"/>
    <s v="Store B"/>
    <x v="1"/>
    <n v="0.05"/>
    <x v="1"/>
    <n v="1504.61"/>
    <x v="1"/>
    <s v="FREESHIP"/>
    <n v="1"/>
    <s v="REG100793"/>
    <s v="Cust 2685"/>
    <n v="12.7"/>
    <x v="528"/>
    <d v="2024-04-30T00:00:00"/>
    <s v="Wendy"/>
  </r>
  <r>
    <d v="2024-04-20T00:00:00"/>
    <x v="1"/>
    <x v="0"/>
    <n v="2"/>
    <n v="169.62"/>
    <s v="Store C"/>
    <x v="1"/>
    <n v="0.1"/>
    <x v="1"/>
    <n v="305.31599999999997"/>
    <x v="3"/>
    <m/>
    <n v="0"/>
    <s v="REG100794"/>
    <s v="Cust 5939"/>
    <n v="45.41"/>
    <x v="528"/>
    <d v="2024-04-25T00:00:00"/>
    <s v="Sophie"/>
  </r>
  <r>
    <d v="2023-09-22T00:00:00"/>
    <x v="2"/>
    <x v="0"/>
    <n v="19"/>
    <n v="35.380000000000003"/>
    <s v="Store A"/>
    <x v="1"/>
    <n v="0.15"/>
    <x v="4"/>
    <n v="571.38700000000006"/>
    <x v="0"/>
    <s v="SAVE10"/>
    <n v="0"/>
    <s v="REG100795"/>
    <s v="Cust 1791"/>
    <n v="7.06"/>
    <x v="466"/>
    <d v="2023-09-28T00:00:00"/>
    <s v="Ryan"/>
  </r>
  <r>
    <d v="2025-02-21T00:00:00"/>
    <x v="4"/>
    <x v="3"/>
    <n v="3"/>
    <n v="264.08"/>
    <s v="Store A"/>
    <x v="1"/>
    <n v="0.1"/>
    <x v="4"/>
    <n v="713.01600000000008"/>
    <x v="0"/>
    <m/>
    <n v="0"/>
    <s v="REG100796"/>
    <s v="Cust 8530"/>
    <n v="25.39"/>
    <x v="383"/>
    <d v="2025-03-02T00:00:00"/>
    <s v="Wendy"/>
  </r>
  <r>
    <d v="2025-06-24T00:00:00"/>
    <x v="0"/>
    <x v="5"/>
    <n v="5"/>
    <n v="137.56"/>
    <s v="Store C"/>
    <x v="0"/>
    <n v="0.15"/>
    <x v="4"/>
    <n v="584.63"/>
    <x v="3"/>
    <s v="SAVE10"/>
    <n v="0"/>
    <s v="REG100797"/>
    <s v="Cust 4522"/>
    <n v="6.45"/>
    <x v="543"/>
    <d v="2025-07-01T00:00:00"/>
    <s v="Eric"/>
  </r>
  <r>
    <d v="2023-11-28T00:00:00"/>
    <x v="3"/>
    <x v="0"/>
    <n v="8"/>
    <n v="157.93"/>
    <s v="Store B"/>
    <x v="1"/>
    <n v="0.15"/>
    <x v="4"/>
    <n v="1073.924"/>
    <x v="0"/>
    <s v="SAVE10"/>
    <n v="0"/>
    <s v="REG100798"/>
    <s v="Cust 9619"/>
    <n v="6.31"/>
    <x v="206"/>
    <d v="2023-12-05T00:00:00"/>
    <s v="Cameron"/>
  </r>
  <r>
    <d v="2024-04-08T00:00:00"/>
    <x v="2"/>
    <x v="2"/>
    <n v="6"/>
    <n v="126.86"/>
    <s v="Store C"/>
    <x v="0"/>
    <n v="0.05"/>
    <x v="0"/>
    <n v="723.10199999999998"/>
    <x v="3"/>
    <s v="FREESHIP"/>
    <n v="0"/>
    <s v="REG100799"/>
    <s v="Cust 1637"/>
    <n v="35.49"/>
    <x v="413"/>
    <d v="2024-04-17T00:00:00"/>
    <s v="Ryan"/>
  </r>
  <r>
    <d v="2025-01-07T00:00:00"/>
    <x v="2"/>
    <x v="3"/>
    <n v="15"/>
    <n v="240.05"/>
    <s v="Store C"/>
    <x v="1"/>
    <n v="0.05"/>
    <x v="3"/>
    <n v="3420.7125000000001"/>
    <x v="2"/>
    <s v="FREESHIP"/>
    <n v="0"/>
    <s v="REG100800"/>
    <s v="Cust 6914"/>
    <n v="14.31"/>
    <x v="316"/>
    <d v="2025-01-14T00:00:00"/>
    <s v="Ryan"/>
  </r>
  <r>
    <d v="2023-02-24T00:00:00"/>
    <x v="1"/>
    <x v="5"/>
    <n v="3"/>
    <n v="37.630000000000003"/>
    <s v="Store A"/>
    <x v="0"/>
    <n v="0.1"/>
    <x v="3"/>
    <n v="101.601"/>
    <x v="3"/>
    <s v="FREESHIP"/>
    <n v="0"/>
    <s v="REG100801"/>
    <s v="Cust 5737"/>
    <n v="43.7"/>
    <x v="349"/>
    <d v="2023-03-03T00:00:00"/>
    <s v="Sophie"/>
  </r>
  <r>
    <d v="2023-10-19T00:00:00"/>
    <x v="0"/>
    <x v="3"/>
    <n v="13"/>
    <n v="393.1"/>
    <s v="Store B"/>
    <x v="0"/>
    <n v="0.1"/>
    <x v="1"/>
    <n v="4599.2700000000004"/>
    <x v="0"/>
    <m/>
    <n v="0"/>
    <s v="REG100802"/>
    <s v="Cust 5301"/>
    <n v="12.64"/>
    <x v="544"/>
    <d v="2023-10-26T00:00:00"/>
    <s v="Eric"/>
  </r>
  <r>
    <d v="2024-06-17T00:00:00"/>
    <x v="2"/>
    <x v="3"/>
    <n v="10"/>
    <n v="83.86"/>
    <s v="Store A"/>
    <x v="0"/>
    <n v="0.15"/>
    <x v="1"/>
    <n v="712.81"/>
    <x v="2"/>
    <m/>
    <n v="0"/>
    <s v="REG100803"/>
    <s v="Cust 2524"/>
    <n v="41.11"/>
    <x v="545"/>
    <d v="2024-06-21T00:00:00"/>
    <s v="Ryan"/>
  </r>
  <r>
    <d v="2023-06-21T00:00:00"/>
    <x v="3"/>
    <x v="2"/>
    <n v="10"/>
    <n v="110.07"/>
    <s v="Store B"/>
    <x v="0"/>
    <n v="0"/>
    <x v="2"/>
    <n v="1100.7"/>
    <x v="2"/>
    <m/>
    <n v="0"/>
    <s v="REG100804"/>
    <s v="Cust 8480"/>
    <n v="18.47"/>
    <x v="522"/>
    <d v="2023-06-29T00:00:00"/>
    <s v="Cameron"/>
  </r>
  <r>
    <d v="2024-08-30T00:00:00"/>
    <x v="0"/>
    <x v="1"/>
    <n v="6"/>
    <n v="288.98"/>
    <s v="Store C"/>
    <x v="0"/>
    <n v="0.15"/>
    <x v="4"/>
    <n v="1473.798"/>
    <x v="1"/>
    <m/>
    <n v="0"/>
    <s v="REG100805"/>
    <s v="Cust 2595"/>
    <n v="38.630000000000003"/>
    <x v="315"/>
    <d v="2024-09-02T00:00:00"/>
    <s v="Eric"/>
  </r>
  <r>
    <d v="2025-01-03T00:00:00"/>
    <x v="3"/>
    <x v="2"/>
    <n v="10"/>
    <n v="451.14"/>
    <s v="Store A"/>
    <x v="1"/>
    <n v="0"/>
    <x v="5"/>
    <n v="4511.3999999999996"/>
    <x v="1"/>
    <s v="FREESHIP"/>
    <n v="0"/>
    <s v="REG100806"/>
    <s v="Cust 7132"/>
    <n v="29.96"/>
    <x v="546"/>
    <d v="2025-01-13T00:00:00"/>
    <s v="Cameron"/>
  </r>
  <r>
    <d v="2023-02-23T00:00:00"/>
    <x v="4"/>
    <x v="6"/>
    <n v="16"/>
    <n v="509.08"/>
    <s v="Store C"/>
    <x v="0"/>
    <n v="0"/>
    <x v="3"/>
    <n v="8145.28"/>
    <x v="0"/>
    <s v="FREESHIP"/>
    <n v="0"/>
    <s v="REG100807"/>
    <s v="Cust 4240"/>
    <n v="37.53"/>
    <x v="0"/>
    <d v="2023-03-02T00:00:00"/>
    <s v="Wendy"/>
  </r>
  <r>
    <d v="2025-04-26T00:00:00"/>
    <x v="3"/>
    <x v="6"/>
    <n v="4"/>
    <n v="582.73"/>
    <s v="Store D"/>
    <x v="0"/>
    <n v="0.05"/>
    <x v="3"/>
    <n v="2214.3739999999998"/>
    <x v="4"/>
    <s v="WINTER15"/>
    <n v="0"/>
    <s v="REG100808"/>
    <s v="Cust 4644"/>
    <n v="44.26"/>
    <x v="547"/>
    <d v="2025-04-29T00:00:00"/>
    <s v="Cameron"/>
  </r>
  <r>
    <d v="2023-06-08T00:00:00"/>
    <x v="1"/>
    <x v="1"/>
    <n v="9"/>
    <n v="115.24"/>
    <s v="Store B"/>
    <x v="0"/>
    <n v="0"/>
    <x v="1"/>
    <n v="1037.1600000000001"/>
    <x v="2"/>
    <s v="FREESHIP"/>
    <n v="0"/>
    <s v="REG100809"/>
    <s v="Cust 5133"/>
    <n v="8.2799999999999994"/>
    <x v="548"/>
    <d v="2023-06-14T00:00:00"/>
    <s v="Sophie"/>
  </r>
  <r>
    <d v="2023-03-16T00:00:00"/>
    <x v="2"/>
    <x v="4"/>
    <n v="14"/>
    <n v="565.45000000000005"/>
    <s v="Store D"/>
    <x v="0"/>
    <n v="0.1"/>
    <x v="0"/>
    <n v="7124.670000000001"/>
    <x v="0"/>
    <s v="WINTER15"/>
    <n v="0"/>
    <s v="REG100810"/>
    <s v="Cust 1731"/>
    <n v="24.4"/>
    <x v="399"/>
    <d v="2023-03-25T00:00:00"/>
    <s v="Ryan"/>
  </r>
  <r>
    <d v="2024-10-23T00:00:00"/>
    <x v="2"/>
    <x v="1"/>
    <n v="11"/>
    <n v="121.54"/>
    <s v="Store D"/>
    <x v="0"/>
    <n v="0"/>
    <x v="3"/>
    <n v="1336.94"/>
    <x v="2"/>
    <s v="SAVE10"/>
    <n v="0"/>
    <s v="REG100811"/>
    <s v="Cust 3739"/>
    <n v="16.62"/>
    <x v="75"/>
    <d v="2024-10-28T00:00:00"/>
    <s v="Ryan"/>
  </r>
  <r>
    <d v="2025-05-23T00:00:00"/>
    <x v="0"/>
    <x v="6"/>
    <n v="9"/>
    <n v="160.15"/>
    <s v="Store D"/>
    <x v="1"/>
    <n v="0.1"/>
    <x v="1"/>
    <n v="1297.2149999999999"/>
    <x v="3"/>
    <m/>
    <n v="1"/>
    <s v="REG100812"/>
    <s v="Cust 3853"/>
    <n v="29.64"/>
    <x v="549"/>
    <d v="2025-05-28T00:00:00"/>
    <s v="Eric"/>
  </r>
  <r>
    <d v="2023-05-06T00:00:00"/>
    <x v="0"/>
    <x v="2"/>
    <n v="14"/>
    <n v="175.66"/>
    <s v="Store B"/>
    <x v="0"/>
    <n v="0.05"/>
    <x v="5"/>
    <n v="2336.2779999999998"/>
    <x v="4"/>
    <s v="SAVE10"/>
    <n v="0"/>
    <s v="REG100813"/>
    <s v="Cust 6830"/>
    <n v="26.12"/>
    <x v="400"/>
    <d v="2023-05-14T00:00:00"/>
    <s v="Eric"/>
  </r>
  <r>
    <d v="2024-08-15T00:00:00"/>
    <x v="1"/>
    <x v="5"/>
    <n v="3"/>
    <n v="437.97"/>
    <s v="Store C"/>
    <x v="0"/>
    <n v="0.05"/>
    <x v="0"/>
    <n v="1248.2145"/>
    <x v="4"/>
    <s v="SAVE10"/>
    <n v="1"/>
    <s v="REG100814"/>
    <s v="Cust 5351"/>
    <n v="23.29"/>
    <x v="255"/>
    <d v="2024-08-22T00:00:00"/>
    <s v="Sophie"/>
  </r>
  <r>
    <d v="2023-08-23T00:00:00"/>
    <x v="1"/>
    <x v="6"/>
    <n v="12"/>
    <n v="411.59"/>
    <s v="Store B"/>
    <x v="0"/>
    <n v="0.15"/>
    <x v="4"/>
    <n v="4198.2179999999998"/>
    <x v="4"/>
    <s v="FREESHIP"/>
    <n v="0"/>
    <s v="REG100815"/>
    <s v="Cust 5845"/>
    <n v="19.170000000000002"/>
    <x v="200"/>
    <d v="2023-08-31T00:00:00"/>
    <s v="Sophie"/>
  </r>
  <r>
    <d v="2025-04-13T00:00:00"/>
    <x v="1"/>
    <x v="0"/>
    <n v="1"/>
    <n v="163.29"/>
    <s v="Store B"/>
    <x v="1"/>
    <n v="0"/>
    <x v="4"/>
    <n v="163.29"/>
    <x v="2"/>
    <s v="WINTER15"/>
    <n v="0"/>
    <s v="REG100816"/>
    <s v="Cust 7004"/>
    <n v="21.15"/>
    <x v="91"/>
    <d v="2025-04-22T00:00:00"/>
    <s v="Sophie"/>
  </r>
  <r>
    <d v="2024-06-11T00:00:00"/>
    <x v="3"/>
    <x v="2"/>
    <n v="5"/>
    <n v="538.52"/>
    <s v="Store B"/>
    <x v="0"/>
    <n v="0.05"/>
    <x v="1"/>
    <n v="2557.9699999999998"/>
    <x v="1"/>
    <m/>
    <n v="0"/>
    <s v="REG100817"/>
    <s v="Cust 4095"/>
    <n v="45.81"/>
    <x v="550"/>
    <d v="2024-06-17T00:00:00"/>
    <s v="Cameron"/>
  </r>
  <r>
    <d v="2024-04-29T00:00:00"/>
    <x v="1"/>
    <x v="1"/>
    <n v="11"/>
    <n v="255.95"/>
    <s v="Store C"/>
    <x v="0"/>
    <n v="0.1"/>
    <x v="1"/>
    <n v="2533.9050000000002"/>
    <x v="0"/>
    <m/>
    <n v="0"/>
    <s v="REG100818"/>
    <s v="Cust 7833"/>
    <n v="21.99"/>
    <x v="131"/>
    <d v="2024-05-04T00:00:00"/>
    <s v="Sophie"/>
  </r>
  <r>
    <d v="2023-03-27T00:00:00"/>
    <x v="1"/>
    <x v="2"/>
    <n v="7"/>
    <n v="290.22000000000003"/>
    <s v="Store A"/>
    <x v="1"/>
    <n v="0.1"/>
    <x v="1"/>
    <n v="1828.386"/>
    <x v="4"/>
    <s v="WINTER15"/>
    <n v="0"/>
    <s v="REG100819"/>
    <s v="Cust 5826"/>
    <n v="33.15"/>
    <x v="340"/>
    <d v="2023-04-04T00:00:00"/>
    <s v="Sophie"/>
  </r>
  <r>
    <d v="2024-10-23T00:00:00"/>
    <x v="2"/>
    <x v="3"/>
    <n v="20"/>
    <n v="198.95"/>
    <s v="Store B"/>
    <x v="1"/>
    <n v="0.1"/>
    <x v="4"/>
    <n v="3581.1"/>
    <x v="2"/>
    <m/>
    <n v="1"/>
    <s v="REG100820"/>
    <s v="Cust 9410"/>
    <n v="5.16"/>
    <x v="75"/>
    <d v="2024-10-25T00:00:00"/>
    <s v="Ryan"/>
  </r>
  <r>
    <d v="2023-06-21T00:00:00"/>
    <x v="2"/>
    <x v="6"/>
    <n v="11"/>
    <n v="577.1"/>
    <s v="Store C"/>
    <x v="1"/>
    <n v="0.15"/>
    <x v="2"/>
    <n v="5395.8850000000002"/>
    <x v="4"/>
    <s v="SAVE10"/>
    <n v="0"/>
    <s v="REG100821"/>
    <s v="Cust 9397"/>
    <n v="13.16"/>
    <x v="522"/>
    <d v="2023-06-28T00:00:00"/>
    <s v="Ryan"/>
  </r>
  <r>
    <d v="2023-05-12T00:00:00"/>
    <x v="3"/>
    <x v="6"/>
    <n v="10"/>
    <n v="50.1"/>
    <s v="Store A"/>
    <x v="0"/>
    <n v="0.1"/>
    <x v="5"/>
    <n v="450.9"/>
    <x v="4"/>
    <s v="FREESHIP"/>
    <n v="1"/>
    <s v="REG100822"/>
    <s v="Cust 6665"/>
    <n v="23.43"/>
    <x v="551"/>
    <d v="2023-05-19T00:00:00"/>
    <s v="Cameron"/>
  </r>
  <r>
    <d v="2024-10-20T00:00:00"/>
    <x v="3"/>
    <x v="6"/>
    <n v="19"/>
    <n v="554.5"/>
    <s v="Store B"/>
    <x v="1"/>
    <n v="0.15"/>
    <x v="3"/>
    <n v="8955.1749999999993"/>
    <x v="0"/>
    <m/>
    <n v="1"/>
    <s v="REG100823"/>
    <s v="Cust 2590"/>
    <n v="47.16"/>
    <x v="552"/>
    <d v="2024-10-24T00:00:00"/>
    <s v="Cameron"/>
  </r>
  <r>
    <d v="2024-04-04T00:00:00"/>
    <x v="2"/>
    <x v="0"/>
    <n v="14"/>
    <n v="117.31"/>
    <s v="Store A"/>
    <x v="0"/>
    <n v="0"/>
    <x v="4"/>
    <n v="1642.34"/>
    <x v="0"/>
    <s v="WINTER15"/>
    <n v="0"/>
    <s v="REG100824"/>
    <s v="Cust 4599"/>
    <n v="41.24"/>
    <x v="553"/>
    <d v="2024-04-07T00:00:00"/>
    <s v="Ryan"/>
  </r>
  <r>
    <d v="2025-01-12T00:00:00"/>
    <x v="3"/>
    <x v="5"/>
    <n v="3"/>
    <n v="193.98"/>
    <s v="Store A"/>
    <x v="1"/>
    <n v="0"/>
    <x v="5"/>
    <n v="581.93999999999994"/>
    <x v="2"/>
    <s v="WINTER15"/>
    <n v="0"/>
    <s v="REG100825"/>
    <s v="Cust 7166"/>
    <n v="27.53"/>
    <x v="87"/>
    <d v="2025-01-16T00:00:00"/>
    <s v="Cameron"/>
  </r>
  <r>
    <d v="2023-07-24T00:00:00"/>
    <x v="1"/>
    <x v="1"/>
    <n v="20"/>
    <n v="386.86"/>
    <s v="Store A"/>
    <x v="0"/>
    <n v="0.05"/>
    <x v="3"/>
    <n v="7350.34"/>
    <x v="0"/>
    <s v="WINTER15"/>
    <n v="0"/>
    <s v="REG100826"/>
    <s v="Cust 6177"/>
    <n v="41.56"/>
    <x v="554"/>
    <d v="2023-07-29T00:00:00"/>
    <s v="Sophie"/>
  </r>
  <r>
    <d v="2023-09-09T00:00:00"/>
    <x v="2"/>
    <x v="3"/>
    <n v="12"/>
    <n v="81.33"/>
    <s v="Store D"/>
    <x v="0"/>
    <n v="0"/>
    <x v="3"/>
    <n v="975.96"/>
    <x v="4"/>
    <s v="SAVE10"/>
    <n v="1"/>
    <s v="REG100827"/>
    <s v="Cust 6229"/>
    <n v="30.73"/>
    <x v="507"/>
    <d v="2023-09-13T00:00:00"/>
    <s v="Ryan"/>
  </r>
  <r>
    <d v="2024-04-20T00:00:00"/>
    <x v="0"/>
    <x v="6"/>
    <n v="5"/>
    <n v="550.65"/>
    <s v="Store A"/>
    <x v="1"/>
    <n v="0.15"/>
    <x v="5"/>
    <n v="2340.2624999999998"/>
    <x v="1"/>
    <m/>
    <n v="0"/>
    <s v="REG100828"/>
    <s v="Cust 2899"/>
    <n v="16.82"/>
    <x v="528"/>
    <d v="2024-04-27T00:00:00"/>
    <s v="Eric"/>
  </r>
  <r>
    <d v="2025-02-06T00:00:00"/>
    <x v="4"/>
    <x v="6"/>
    <n v="4"/>
    <n v="473.91"/>
    <s v="Store A"/>
    <x v="1"/>
    <n v="0.05"/>
    <x v="0"/>
    <n v="1800.8579999999999"/>
    <x v="2"/>
    <s v="SAVE10"/>
    <n v="0"/>
    <s v="REG100829"/>
    <s v="Cust 5322"/>
    <n v="29.22"/>
    <x v="323"/>
    <d v="2025-02-14T00:00:00"/>
    <s v="Wendy"/>
  </r>
  <r>
    <d v="2023-06-18T00:00:00"/>
    <x v="4"/>
    <x v="5"/>
    <n v="19"/>
    <n v="25.22"/>
    <s v="Store C"/>
    <x v="0"/>
    <n v="0"/>
    <x v="5"/>
    <n v="479.17999999999989"/>
    <x v="2"/>
    <m/>
    <n v="0"/>
    <s v="REG100830"/>
    <s v="Cust 7063"/>
    <n v="31.31"/>
    <x v="391"/>
    <d v="2023-06-22T00:00:00"/>
    <s v="Wendy"/>
  </r>
  <r>
    <d v="2024-11-01T00:00:00"/>
    <x v="2"/>
    <x v="1"/>
    <n v="2"/>
    <n v="437.04"/>
    <s v="Store C"/>
    <x v="0"/>
    <n v="0"/>
    <x v="2"/>
    <n v="874.08"/>
    <x v="2"/>
    <s v="SAVE10"/>
    <n v="1"/>
    <s v="REG100831"/>
    <s v="Cust 7487"/>
    <n v="37.369999999999997"/>
    <x v="501"/>
    <d v="2024-11-08T00:00:00"/>
    <s v="Ryan"/>
  </r>
  <r>
    <d v="2024-08-12T00:00:00"/>
    <x v="4"/>
    <x v="2"/>
    <n v="5"/>
    <n v="448.86"/>
    <s v="Store C"/>
    <x v="0"/>
    <n v="0.15"/>
    <x v="2"/>
    <n v="1907.655"/>
    <x v="2"/>
    <s v="SAVE10"/>
    <n v="1"/>
    <s v="REG100832"/>
    <s v="Cust 5481"/>
    <n v="21.22"/>
    <x v="305"/>
    <d v="2024-08-21T00:00:00"/>
    <s v="Wendy"/>
  </r>
  <r>
    <d v="2025-04-08T00:00:00"/>
    <x v="3"/>
    <x v="1"/>
    <n v="14"/>
    <n v="299.94"/>
    <s v="Store D"/>
    <x v="1"/>
    <n v="0"/>
    <x v="3"/>
    <n v="4199.16"/>
    <x v="1"/>
    <s v="FREESHIP"/>
    <n v="0"/>
    <s v="REG100833"/>
    <s v="Cust 3150"/>
    <n v="21.04"/>
    <x v="409"/>
    <d v="2025-04-17T00:00:00"/>
    <s v="Cameron"/>
  </r>
  <r>
    <d v="2024-07-20T00:00:00"/>
    <x v="3"/>
    <x v="0"/>
    <n v="8"/>
    <n v="224.18"/>
    <s v="Store B"/>
    <x v="1"/>
    <n v="0.15"/>
    <x v="5"/>
    <n v="1524.424"/>
    <x v="3"/>
    <m/>
    <n v="0"/>
    <s v="REG100834"/>
    <s v="Cust 5099"/>
    <n v="36.9"/>
    <x v="555"/>
    <d v="2024-07-26T00:00:00"/>
    <s v="Cameron"/>
  </r>
  <r>
    <d v="2023-02-17T00:00:00"/>
    <x v="4"/>
    <x v="2"/>
    <n v="6"/>
    <n v="327.69"/>
    <s v="Store D"/>
    <x v="0"/>
    <n v="0.05"/>
    <x v="4"/>
    <n v="1867.8330000000001"/>
    <x v="4"/>
    <m/>
    <n v="0"/>
    <s v="REG100835"/>
    <s v="Cust 6615"/>
    <n v="22.34"/>
    <x v="556"/>
    <d v="2023-02-21T00:00:00"/>
    <s v="Wendy"/>
  </r>
  <r>
    <d v="2024-07-02T00:00:00"/>
    <x v="0"/>
    <x v="1"/>
    <n v="8"/>
    <n v="432.27"/>
    <s v="Store D"/>
    <x v="1"/>
    <n v="0.05"/>
    <x v="0"/>
    <n v="3285.251999999999"/>
    <x v="4"/>
    <s v="FREESHIP"/>
    <n v="1"/>
    <s v="REG100836"/>
    <s v="Cust 6924"/>
    <n v="20.64"/>
    <x v="557"/>
    <d v="2024-07-04T00:00:00"/>
    <s v="Eric"/>
  </r>
  <r>
    <d v="2025-04-01T00:00:00"/>
    <x v="2"/>
    <x v="4"/>
    <n v="4"/>
    <n v="249.98"/>
    <s v="Store C"/>
    <x v="1"/>
    <n v="0.15"/>
    <x v="0"/>
    <n v="849.9319999999999"/>
    <x v="3"/>
    <s v="SAVE10"/>
    <n v="0"/>
    <s v="REG100837"/>
    <s v="Cust 2411"/>
    <n v="49.08"/>
    <x v="159"/>
    <d v="2025-04-04T00:00:00"/>
    <s v="Ryan"/>
  </r>
  <r>
    <d v="2025-06-02T00:00:00"/>
    <x v="1"/>
    <x v="6"/>
    <n v="14"/>
    <n v="194.31"/>
    <s v="Store C"/>
    <x v="0"/>
    <n v="0.15"/>
    <x v="2"/>
    <n v="2312.2890000000002"/>
    <x v="3"/>
    <s v="FREESHIP"/>
    <n v="0"/>
    <s v="REG100838"/>
    <s v="Cust 9648"/>
    <n v="15.3"/>
    <x v="558"/>
    <d v="2025-06-09T00:00:00"/>
    <s v="Sophie"/>
  </r>
  <r>
    <d v="2024-11-21T00:00:00"/>
    <x v="4"/>
    <x v="1"/>
    <n v="5"/>
    <n v="69.290000000000006"/>
    <s v="Store C"/>
    <x v="0"/>
    <n v="0"/>
    <x v="3"/>
    <n v="346.45"/>
    <x v="2"/>
    <m/>
    <n v="0"/>
    <s v="REG100839"/>
    <s v="Cust 1974"/>
    <n v="20.83"/>
    <x v="559"/>
    <d v="2024-11-29T00:00:00"/>
    <s v="Wendy"/>
  </r>
  <r>
    <d v="2024-01-10T00:00:00"/>
    <x v="1"/>
    <x v="6"/>
    <n v="15"/>
    <n v="306.91000000000003"/>
    <s v="Store A"/>
    <x v="1"/>
    <n v="0"/>
    <x v="3"/>
    <n v="4603.6500000000005"/>
    <x v="4"/>
    <s v="FREESHIP"/>
    <n v="1"/>
    <s v="REG100840"/>
    <s v="Cust 9452"/>
    <n v="19.38"/>
    <x v="560"/>
    <d v="2024-01-14T00:00:00"/>
    <s v="Sophie"/>
  </r>
  <r>
    <d v="2023-10-21T00:00:00"/>
    <x v="2"/>
    <x v="2"/>
    <n v="4"/>
    <n v="390.3"/>
    <s v="Store A"/>
    <x v="1"/>
    <n v="0.15"/>
    <x v="4"/>
    <n v="1327.02"/>
    <x v="3"/>
    <m/>
    <n v="0"/>
    <s v="REG100841"/>
    <s v="Cust 4558"/>
    <n v="43.56"/>
    <x v="72"/>
    <d v="2023-10-26T00:00:00"/>
    <s v="Ryan"/>
  </r>
  <r>
    <d v="2025-01-20T00:00:00"/>
    <x v="2"/>
    <x v="1"/>
    <n v="7"/>
    <n v="61.83"/>
    <s v="Store B"/>
    <x v="1"/>
    <n v="0"/>
    <x v="4"/>
    <n v="432.81"/>
    <x v="0"/>
    <s v="WINTER15"/>
    <n v="0"/>
    <s v="REG100842"/>
    <s v="Cust 8811"/>
    <n v="25.49"/>
    <x v="135"/>
    <d v="2025-01-22T00:00:00"/>
    <s v="Ryan"/>
  </r>
  <r>
    <d v="2024-11-09T00:00:00"/>
    <x v="4"/>
    <x v="4"/>
    <n v="7"/>
    <n v="83.32"/>
    <s v="Store D"/>
    <x v="0"/>
    <n v="0.05"/>
    <x v="3"/>
    <n v="554.07799999999997"/>
    <x v="4"/>
    <s v="FREESHIP"/>
    <n v="0"/>
    <s v="REG100843"/>
    <s v="Cust 7788"/>
    <n v="23.4"/>
    <x v="325"/>
    <d v="2024-11-17T00:00:00"/>
    <s v="Wendy"/>
  </r>
  <r>
    <d v="2024-04-03T00:00:00"/>
    <x v="4"/>
    <x v="4"/>
    <n v="4"/>
    <n v="563.05999999999995"/>
    <s v="Store D"/>
    <x v="1"/>
    <n v="0.05"/>
    <x v="5"/>
    <n v="2139.6280000000002"/>
    <x v="4"/>
    <s v="WINTER15"/>
    <n v="0"/>
    <s v="REG100844"/>
    <s v="Cust 2788"/>
    <n v="19.5"/>
    <x v="516"/>
    <d v="2024-04-07T00:00:00"/>
    <s v="Wendy"/>
  </r>
  <r>
    <d v="2024-01-06T00:00:00"/>
    <x v="2"/>
    <x v="1"/>
    <n v="13"/>
    <n v="256.35000000000002"/>
    <s v="Store D"/>
    <x v="0"/>
    <n v="0.15"/>
    <x v="1"/>
    <n v="2832.6675"/>
    <x v="4"/>
    <s v="SAVE10"/>
    <n v="0"/>
    <s v="REG100845"/>
    <s v="Cust 6621"/>
    <n v="26.04"/>
    <x v="561"/>
    <d v="2024-01-08T00:00:00"/>
    <s v="Ryan"/>
  </r>
  <r>
    <d v="2023-08-02T00:00:00"/>
    <x v="3"/>
    <x v="6"/>
    <n v="9"/>
    <n v="303.26"/>
    <s v="Store A"/>
    <x v="0"/>
    <n v="0.05"/>
    <x v="4"/>
    <n v="2592.873"/>
    <x v="3"/>
    <s v="FREESHIP"/>
    <n v="0"/>
    <s v="REG100846"/>
    <s v="Cust 8575"/>
    <n v="17.010000000000002"/>
    <x v="562"/>
    <d v="2023-08-05T00:00:00"/>
    <s v="Cameron"/>
  </r>
  <r>
    <d v="2023-11-26T00:00:00"/>
    <x v="2"/>
    <x v="3"/>
    <n v="9"/>
    <n v="440.48"/>
    <s v="Store A"/>
    <x v="1"/>
    <n v="0.15"/>
    <x v="4"/>
    <n v="3369.672"/>
    <x v="1"/>
    <s v="WINTER15"/>
    <n v="0"/>
    <s v="REG100847"/>
    <s v="Cust 8799"/>
    <n v="32.94"/>
    <x v="168"/>
    <d v="2023-12-01T00:00:00"/>
    <s v="Ryan"/>
  </r>
  <r>
    <d v="2025-04-20T00:00:00"/>
    <x v="0"/>
    <x v="2"/>
    <n v="17"/>
    <n v="469.25"/>
    <s v="Store B"/>
    <x v="0"/>
    <n v="0.05"/>
    <x v="5"/>
    <n v="7578.3874999999998"/>
    <x v="2"/>
    <m/>
    <n v="0"/>
    <s v="REG100848"/>
    <s v="Cust 1699"/>
    <n v="45.76"/>
    <x v="248"/>
    <d v="2025-04-26T00:00:00"/>
    <s v="Eric"/>
  </r>
  <r>
    <d v="2023-12-29T00:00:00"/>
    <x v="1"/>
    <x v="3"/>
    <n v="18"/>
    <n v="491.76"/>
    <s v="Store A"/>
    <x v="0"/>
    <n v="0.15"/>
    <x v="0"/>
    <n v="7523.9279999999999"/>
    <x v="2"/>
    <s v="SAVE10"/>
    <n v="0"/>
    <s v="REG100849"/>
    <s v="Cust 5606"/>
    <n v="37.49"/>
    <x v="183"/>
    <d v="2024-01-05T00:00:00"/>
    <s v="Sophie"/>
  </r>
  <r>
    <d v="2025-01-08T00:00:00"/>
    <x v="3"/>
    <x v="3"/>
    <n v="19"/>
    <n v="465.27"/>
    <s v="Store C"/>
    <x v="1"/>
    <n v="0.05"/>
    <x v="4"/>
    <n v="8398.1234999999997"/>
    <x v="2"/>
    <m/>
    <n v="0"/>
    <s v="REG100850"/>
    <s v="Cust 4933"/>
    <n v="44.95"/>
    <x v="304"/>
    <d v="2025-01-10T00:00:00"/>
    <s v="Cameron"/>
  </r>
  <r>
    <d v="2024-05-06T00:00:00"/>
    <x v="0"/>
    <x v="3"/>
    <n v="18"/>
    <n v="343.68"/>
    <s v="Store B"/>
    <x v="1"/>
    <n v="0"/>
    <x v="0"/>
    <n v="6186.24"/>
    <x v="1"/>
    <s v="SAVE10"/>
    <n v="0"/>
    <s v="REG100851"/>
    <s v="Cust 9517"/>
    <n v="20.37"/>
    <x v="563"/>
    <d v="2024-05-14T00:00:00"/>
    <s v="Eric"/>
  </r>
  <r>
    <d v="2024-09-15T00:00:00"/>
    <x v="2"/>
    <x v="2"/>
    <n v="14"/>
    <n v="472.51"/>
    <s v="Store D"/>
    <x v="0"/>
    <n v="0.05"/>
    <x v="5"/>
    <n v="6284.3829999999989"/>
    <x v="1"/>
    <m/>
    <n v="0"/>
    <s v="REG100852"/>
    <s v="Cust 6740"/>
    <n v="13.54"/>
    <x v="564"/>
    <d v="2024-09-20T00:00:00"/>
    <s v="Ryan"/>
  </r>
  <r>
    <d v="2023-02-07T00:00:00"/>
    <x v="4"/>
    <x v="0"/>
    <n v="20"/>
    <n v="142.52000000000001"/>
    <s v="Store A"/>
    <x v="1"/>
    <n v="0.1"/>
    <x v="0"/>
    <n v="2565.36"/>
    <x v="4"/>
    <s v="FREESHIP"/>
    <n v="0"/>
    <s v="REG100853"/>
    <s v="Cust 1301"/>
    <n v="30.67"/>
    <x v="230"/>
    <d v="2023-02-12T00:00:00"/>
    <s v="Wendy"/>
  </r>
  <r>
    <d v="2023-03-01T00:00:00"/>
    <x v="0"/>
    <x v="1"/>
    <n v="1"/>
    <n v="31.42"/>
    <s v="Store B"/>
    <x v="1"/>
    <n v="0.05"/>
    <x v="5"/>
    <n v="29.849"/>
    <x v="2"/>
    <s v="SAVE10"/>
    <n v="0"/>
    <s v="REG100854"/>
    <s v="Cust 1736"/>
    <n v="11.35"/>
    <x v="565"/>
    <d v="2023-03-09T00:00:00"/>
    <s v="Eric"/>
  </r>
  <r>
    <d v="2024-05-08T00:00:00"/>
    <x v="2"/>
    <x v="5"/>
    <n v="17"/>
    <n v="572.29"/>
    <s v="Store D"/>
    <x v="1"/>
    <n v="0.15"/>
    <x v="0"/>
    <n v="8269.5905000000002"/>
    <x v="0"/>
    <s v="SAVE10"/>
    <n v="1"/>
    <s v="REG100855"/>
    <s v="Cust 6864"/>
    <n v="44.99"/>
    <x v="336"/>
    <d v="2024-05-12T00:00:00"/>
    <s v="Ryan"/>
  </r>
  <r>
    <d v="2024-06-06T00:00:00"/>
    <x v="0"/>
    <x v="2"/>
    <n v="18"/>
    <n v="333.6"/>
    <s v="Store A"/>
    <x v="1"/>
    <n v="0.1"/>
    <x v="3"/>
    <n v="5404.3200000000006"/>
    <x v="3"/>
    <s v="FREESHIP"/>
    <n v="1"/>
    <s v="REG100856"/>
    <s v="Cust 5207"/>
    <n v="33.79"/>
    <x v="566"/>
    <d v="2024-06-08T00:00:00"/>
    <s v="Eric"/>
  </r>
  <r>
    <d v="2023-04-29T00:00:00"/>
    <x v="2"/>
    <x v="3"/>
    <n v="9"/>
    <n v="90.87"/>
    <s v="Store D"/>
    <x v="1"/>
    <n v="0.15"/>
    <x v="3"/>
    <n v="695.15549999999996"/>
    <x v="3"/>
    <s v="WINTER15"/>
    <n v="0"/>
    <s v="REG100857"/>
    <s v="Cust 6525"/>
    <n v="26.56"/>
    <x v="431"/>
    <d v="2023-05-08T00:00:00"/>
    <s v="Ryan"/>
  </r>
  <r>
    <d v="2023-09-20T00:00:00"/>
    <x v="3"/>
    <x v="5"/>
    <n v="9"/>
    <n v="588.59"/>
    <s v="Store D"/>
    <x v="0"/>
    <n v="0.05"/>
    <x v="4"/>
    <n v="5032.4445000000014"/>
    <x v="0"/>
    <m/>
    <n v="0"/>
    <s v="REG100858"/>
    <s v="Cust 8298"/>
    <n v="42.3"/>
    <x v="567"/>
    <d v="2023-09-22T00:00:00"/>
    <s v="Cameron"/>
  </r>
  <r>
    <d v="2024-11-08T00:00:00"/>
    <x v="1"/>
    <x v="3"/>
    <n v="18"/>
    <n v="153.28"/>
    <s v="Store B"/>
    <x v="1"/>
    <n v="0.05"/>
    <x v="2"/>
    <n v="2621.0880000000002"/>
    <x v="0"/>
    <s v="WINTER15"/>
    <n v="1"/>
    <s v="REG100859"/>
    <s v="Cust 8204"/>
    <n v="33.71"/>
    <x v="137"/>
    <d v="2024-11-13T00:00:00"/>
    <s v="Sophie"/>
  </r>
  <r>
    <d v="2023-03-22T00:00:00"/>
    <x v="2"/>
    <x v="6"/>
    <n v="17"/>
    <n v="194.97"/>
    <s v="Store A"/>
    <x v="1"/>
    <n v="0.15"/>
    <x v="3"/>
    <n v="2817.3164999999999"/>
    <x v="1"/>
    <s v="SAVE10"/>
    <n v="1"/>
    <s v="REG100860"/>
    <s v="Cust 4035"/>
    <n v="5.59"/>
    <x v="568"/>
    <d v="2023-03-30T00:00:00"/>
    <s v="Ryan"/>
  </r>
  <r>
    <d v="2023-09-05T00:00:00"/>
    <x v="0"/>
    <x v="4"/>
    <n v="5"/>
    <n v="367.61"/>
    <s v="Store C"/>
    <x v="1"/>
    <n v="0"/>
    <x v="1"/>
    <n v="1838.05"/>
    <x v="2"/>
    <s v="SAVE10"/>
    <n v="0"/>
    <s v="REG100861"/>
    <s v="Cust 1654"/>
    <n v="19.55"/>
    <x v="569"/>
    <d v="2023-09-13T00:00:00"/>
    <s v="Eric"/>
  </r>
  <r>
    <d v="2023-02-26T00:00:00"/>
    <x v="0"/>
    <x v="0"/>
    <n v="17"/>
    <n v="575.5"/>
    <s v="Store D"/>
    <x v="1"/>
    <n v="0.05"/>
    <x v="1"/>
    <n v="9294.3249999999989"/>
    <x v="3"/>
    <s v="FREESHIP"/>
    <n v="0"/>
    <s v="REG100862"/>
    <s v="Cust 1823"/>
    <n v="13.42"/>
    <x v="16"/>
    <d v="2023-03-05T00:00:00"/>
    <s v="Eric"/>
  </r>
  <r>
    <d v="2024-11-26T00:00:00"/>
    <x v="4"/>
    <x v="3"/>
    <n v="3"/>
    <n v="229.45"/>
    <s v="Store D"/>
    <x v="1"/>
    <n v="0.15"/>
    <x v="5"/>
    <n v="585.09749999999985"/>
    <x v="3"/>
    <s v="WINTER15"/>
    <n v="1"/>
    <s v="REG100863"/>
    <s v="Cust 1423"/>
    <n v="19.809999999999999"/>
    <x v="570"/>
    <d v="2024-11-29T00:00:00"/>
    <s v="Wendy"/>
  </r>
  <r>
    <d v="2024-10-14T00:00:00"/>
    <x v="3"/>
    <x v="3"/>
    <n v="3"/>
    <n v="391.63"/>
    <s v="Store C"/>
    <x v="1"/>
    <n v="0"/>
    <x v="2"/>
    <n v="1174.8900000000001"/>
    <x v="3"/>
    <m/>
    <n v="1"/>
    <s v="REG100864"/>
    <s v="Cust 7282"/>
    <n v="25.36"/>
    <x v="571"/>
    <d v="2024-10-17T00:00:00"/>
    <s v="Cameron"/>
  </r>
  <r>
    <d v="2023-05-29T00:00:00"/>
    <x v="3"/>
    <x v="0"/>
    <n v="15"/>
    <n v="67.349999999999994"/>
    <s v="Store D"/>
    <x v="0"/>
    <n v="0.1"/>
    <x v="4"/>
    <n v="909.22499999999991"/>
    <x v="0"/>
    <s v="FREESHIP"/>
    <n v="0"/>
    <s v="REG100865"/>
    <s v="Cust 8437"/>
    <n v="24.85"/>
    <x v="572"/>
    <d v="2023-06-03T00:00:00"/>
    <s v="Cameron"/>
  </r>
  <r>
    <d v="2024-03-22T00:00:00"/>
    <x v="3"/>
    <x v="0"/>
    <n v="6"/>
    <n v="453.86"/>
    <s v="Store B"/>
    <x v="1"/>
    <n v="0.15"/>
    <x v="1"/>
    <n v="2314.6860000000001"/>
    <x v="2"/>
    <m/>
    <n v="0"/>
    <s v="REG100866"/>
    <s v="Cust 9508"/>
    <n v="45.32"/>
    <x v="124"/>
    <d v="2024-03-31T00:00:00"/>
    <s v="Cameron"/>
  </r>
  <r>
    <d v="2023-04-22T00:00:00"/>
    <x v="1"/>
    <x v="5"/>
    <n v="19"/>
    <n v="537.70000000000005"/>
    <s v="Store D"/>
    <x v="0"/>
    <n v="0"/>
    <x v="5"/>
    <n v="10216.299999999999"/>
    <x v="0"/>
    <s v="SAVE10"/>
    <n v="0"/>
    <s v="REG100867"/>
    <s v="Cust 1186"/>
    <n v="45.83"/>
    <x v="573"/>
    <d v="2023-05-02T00:00:00"/>
    <s v="Sophie"/>
  </r>
  <r>
    <d v="2025-06-06T00:00:00"/>
    <x v="2"/>
    <x v="1"/>
    <n v="5"/>
    <n v="32.56"/>
    <s v="Store C"/>
    <x v="1"/>
    <n v="0.05"/>
    <x v="4"/>
    <n v="154.66"/>
    <x v="4"/>
    <s v="FREESHIP"/>
    <n v="0"/>
    <s v="REG100868"/>
    <s v="Cust 4362"/>
    <n v="46.73"/>
    <x v="472"/>
    <d v="2025-06-12T00:00:00"/>
    <s v="Ryan"/>
  </r>
  <r>
    <d v="2023-01-25T00:00:00"/>
    <x v="3"/>
    <x v="0"/>
    <n v="2"/>
    <n v="196.7"/>
    <s v="Store A"/>
    <x v="1"/>
    <n v="0"/>
    <x v="2"/>
    <n v="393.4"/>
    <x v="0"/>
    <s v="FREESHIP"/>
    <n v="0"/>
    <s v="REG100869"/>
    <s v="Cust 9388"/>
    <n v="35.840000000000003"/>
    <x v="232"/>
    <d v="2023-01-29T00:00:00"/>
    <s v="Cameron"/>
  </r>
  <r>
    <d v="2023-09-08T00:00:00"/>
    <x v="1"/>
    <x v="1"/>
    <n v="12"/>
    <n v="369.45"/>
    <s v="Store D"/>
    <x v="0"/>
    <n v="0.1"/>
    <x v="2"/>
    <n v="3990.06"/>
    <x v="2"/>
    <s v="WINTER15"/>
    <n v="1"/>
    <s v="REG100870"/>
    <s v="Cust 4015"/>
    <n v="44.76"/>
    <x v="247"/>
    <d v="2023-09-10T00:00:00"/>
    <s v="Sophie"/>
  </r>
  <r>
    <d v="2024-10-04T00:00:00"/>
    <x v="0"/>
    <x v="5"/>
    <n v="12"/>
    <n v="181.96"/>
    <s v="Store D"/>
    <x v="1"/>
    <n v="0.15"/>
    <x v="0"/>
    <n v="1855.992"/>
    <x v="1"/>
    <s v="WINTER15"/>
    <n v="0"/>
    <s v="REG100871"/>
    <s v="Cust 6428"/>
    <n v="25.06"/>
    <x v="574"/>
    <d v="2024-10-11T00:00:00"/>
    <s v="Eric"/>
  </r>
  <r>
    <d v="2025-04-06T00:00:00"/>
    <x v="0"/>
    <x v="2"/>
    <n v="3"/>
    <n v="32.07"/>
    <s v="Store D"/>
    <x v="1"/>
    <n v="0.15"/>
    <x v="1"/>
    <n v="81.778500000000008"/>
    <x v="0"/>
    <s v="WINTER15"/>
    <n v="1"/>
    <s v="REG100872"/>
    <s v="Cust 2570"/>
    <n v="43.18"/>
    <x v="575"/>
    <d v="2025-04-08T00:00:00"/>
    <s v="Eric"/>
  </r>
  <r>
    <d v="2024-08-25T00:00:00"/>
    <x v="0"/>
    <x v="0"/>
    <n v="15"/>
    <n v="39.93"/>
    <s v="Store A"/>
    <x v="1"/>
    <n v="0.15"/>
    <x v="4"/>
    <n v="509.10750000000002"/>
    <x v="3"/>
    <s v="WINTER15"/>
    <n v="0"/>
    <s v="REG100873"/>
    <s v="Cust 5132"/>
    <n v="33.44"/>
    <x v="225"/>
    <d v="2024-08-29T00:00:00"/>
    <s v="Eric"/>
  </r>
  <r>
    <d v="2024-03-06T00:00:00"/>
    <x v="2"/>
    <x v="1"/>
    <n v="7"/>
    <n v="374.43"/>
    <s v="Store A"/>
    <x v="1"/>
    <n v="0.15"/>
    <x v="3"/>
    <n v="2227.8584999999998"/>
    <x v="4"/>
    <s v="SAVE10"/>
    <n v="0"/>
    <s v="REG100874"/>
    <s v="Cust 4929"/>
    <n v="28.97"/>
    <x v="491"/>
    <d v="2024-03-12T00:00:00"/>
    <s v="Ryan"/>
  </r>
  <r>
    <d v="2023-03-23T00:00:00"/>
    <x v="0"/>
    <x v="6"/>
    <n v="2"/>
    <n v="101.87"/>
    <s v="Store C"/>
    <x v="0"/>
    <n v="0"/>
    <x v="4"/>
    <n v="203.74"/>
    <x v="4"/>
    <s v="FREESHIP"/>
    <n v="0"/>
    <s v="REG100875"/>
    <s v="Cust 4018"/>
    <n v="28.63"/>
    <x v="433"/>
    <d v="2023-03-26T00:00:00"/>
    <s v="Eric"/>
  </r>
  <r>
    <d v="2024-01-13T00:00:00"/>
    <x v="3"/>
    <x v="5"/>
    <n v="13"/>
    <n v="343.45"/>
    <s v="Store D"/>
    <x v="0"/>
    <n v="0.05"/>
    <x v="1"/>
    <n v="4241.6074999999992"/>
    <x v="1"/>
    <s v="SAVE10"/>
    <n v="0"/>
    <s v="REG100876"/>
    <s v="Cust 8069"/>
    <n v="27.26"/>
    <x v="576"/>
    <d v="2024-01-17T00:00:00"/>
    <s v="Cameron"/>
  </r>
  <r>
    <d v="2023-07-18T00:00:00"/>
    <x v="3"/>
    <x v="6"/>
    <n v="15"/>
    <n v="144.11000000000001"/>
    <s v="Store C"/>
    <x v="1"/>
    <n v="0"/>
    <x v="2"/>
    <n v="2161.65"/>
    <x v="1"/>
    <m/>
    <n v="0"/>
    <s v="REG100877"/>
    <s v="Cust 6741"/>
    <n v="28.51"/>
    <x v="338"/>
    <d v="2023-07-24T00:00:00"/>
    <s v="Cameron"/>
  </r>
  <r>
    <d v="2025-02-23T00:00:00"/>
    <x v="4"/>
    <x v="3"/>
    <n v="18"/>
    <n v="403.68"/>
    <s v="Store A"/>
    <x v="1"/>
    <n v="0.15"/>
    <x v="3"/>
    <n v="6176.3040000000001"/>
    <x v="4"/>
    <s v="FREESHIP"/>
    <n v="0"/>
    <s v="REG100878"/>
    <s v="Cust 8050"/>
    <n v="13.09"/>
    <x v="577"/>
    <d v="2025-03-04T00:00:00"/>
    <s v="Wendy"/>
  </r>
  <r>
    <d v="2023-02-22T00:00:00"/>
    <x v="0"/>
    <x v="6"/>
    <n v="14"/>
    <n v="346.57"/>
    <s v="Store B"/>
    <x v="1"/>
    <n v="0.1"/>
    <x v="3"/>
    <n v="4366.7820000000002"/>
    <x v="3"/>
    <s v="FREESHIP"/>
    <n v="0"/>
    <s v="REG100879"/>
    <s v="Cust 2434"/>
    <n v="36.83"/>
    <x v="429"/>
    <d v="2023-03-02T00:00:00"/>
    <s v="Eric"/>
  </r>
  <r>
    <d v="2024-10-18T00:00:00"/>
    <x v="2"/>
    <x v="6"/>
    <n v="7"/>
    <n v="392.79"/>
    <s v="Store C"/>
    <x v="0"/>
    <n v="0"/>
    <x v="0"/>
    <n v="2749.53"/>
    <x v="1"/>
    <s v="WINTER15"/>
    <n v="0"/>
    <s v="REG100880"/>
    <s v="Cust 9089"/>
    <n v="45.85"/>
    <x v="578"/>
    <d v="2024-10-28T00:00:00"/>
    <s v="Ryan"/>
  </r>
  <r>
    <d v="2023-10-26T00:00:00"/>
    <x v="4"/>
    <x v="6"/>
    <n v="16"/>
    <n v="70.83"/>
    <s v="Store B"/>
    <x v="0"/>
    <n v="0.05"/>
    <x v="3"/>
    <n v="1076.616"/>
    <x v="1"/>
    <m/>
    <n v="0"/>
    <s v="REG100881"/>
    <s v="Cust 1091"/>
    <n v="5.05"/>
    <x v="71"/>
    <d v="2023-10-31T00:00:00"/>
    <s v="Wendy"/>
  </r>
  <r>
    <d v="2023-01-10T00:00:00"/>
    <x v="3"/>
    <x v="4"/>
    <n v="20"/>
    <n v="274.37"/>
    <s v="Store B"/>
    <x v="1"/>
    <n v="0.1"/>
    <x v="0"/>
    <n v="4938.66"/>
    <x v="1"/>
    <s v="WINTER15"/>
    <n v="0"/>
    <s v="REG100882"/>
    <s v="Cust 6138"/>
    <n v="12.28"/>
    <x v="579"/>
    <d v="2023-01-14T00:00:00"/>
    <s v="Cameron"/>
  </r>
  <r>
    <d v="2024-03-19T00:00:00"/>
    <x v="3"/>
    <x v="2"/>
    <n v="10"/>
    <n v="19.73"/>
    <s v="Store D"/>
    <x v="1"/>
    <n v="0.1"/>
    <x v="3"/>
    <n v="177.57"/>
    <x v="3"/>
    <m/>
    <n v="0"/>
    <s v="REG100883"/>
    <s v="Cust 6326"/>
    <n v="16.059999999999999"/>
    <x v="422"/>
    <d v="2024-03-22T00:00:00"/>
    <s v="Cameron"/>
  </r>
  <r>
    <d v="2023-12-20T00:00:00"/>
    <x v="3"/>
    <x v="6"/>
    <n v="10"/>
    <n v="465.72"/>
    <s v="Store B"/>
    <x v="0"/>
    <n v="0.05"/>
    <x v="1"/>
    <n v="4424.34"/>
    <x v="0"/>
    <s v="FREESHIP"/>
    <n v="0"/>
    <s v="REG100884"/>
    <s v="Cust 1327"/>
    <n v="28.14"/>
    <x v="580"/>
    <d v="2023-12-26T00:00:00"/>
    <s v="Cameron"/>
  </r>
  <r>
    <d v="2024-12-09T00:00:00"/>
    <x v="3"/>
    <x v="4"/>
    <n v="19"/>
    <n v="62.07"/>
    <s v="Store D"/>
    <x v="1"/>
    <n v="0.1"/>
    <x v="4"/>
    <n v="1061.3969999999999"/>
    <x v="3"/>
    <s v="FREESHIP"/>
    <n v="0"/>
    <s v="REG100885"/>
    <s v="Cust 8602"/>
    <n v="14.85"/>
    <x v="531"/>
    <d v="2024-12-19T00:00:00"/>
    <s v="Cameron"/>
  </r>
  <r>
    <d v="2023-05-10T00:00:00"/>
    <x v="3"/>
    <x v="5"/>
    <n v="11"/>
    <n v="529.20000000000005"/>
    <s v="Store A"/>
    <x v="0"/>
    <n v="0.05"/>
    <x v="5"/>
    <n v="5530.14"/>
    <x v="2"/>
    <m/>
    <n v="1"/>
    <s v="REG100886"/>
    <s v="Cust 9131"/>
    <n v="16.78"/>
    <x v="2"/>
    <d v="2023-05-20T00:00:00"/>
    <s v="Cameron"/>
  </r>
  <r>
    <d v="2023-10-18T00:00:00"/>
    <x v="1"/>
    <x v="4"/>
    <n v="7"/>
    <n v="387.31"/>
    <s v="Store A"/>
    <x v="1"/>
    <n v="0.1"/>
    <x v="5"/>
    <n v="2440.0529999999999"/>
    <x v="4"/>
    <s v="WINTER15"/>
    <n v="0"/>
    <s v="REG100887"/>
    <s v="Cust 6716"/>
    <n v="14.76"/>
    <x v="90"/>
    <d v="2023-10-21T00:00:00"/>
    <s v="Sophie"/>
  </r>
  <r>
    <d v="2024-12-03T00:00:00"/>
    <x v="1"/>
    <x v="1"/>
    <n v="1"/>
    <n v="152.75"/>
    <s v="Store A"/>
    <x v="0"/>
    <n v="0"/>
    <x v="5"/>
    <n v="152.75"/>
    <x v="2"/>
    <s v="FREESHIP"/>
    <n v="1"/>
    <s v="REG100888"/>
    <s v="Cust 2071"/>
    <n v="9.61"/>
    <x v="581"/>
    <d v="2024-12-06T00:00:00"/>
    <s v="Sophie"/>
  </r>
  <r>
    <d v="2024-10-10T00:00:00"/>
    <x v="1"/>
    <x v="3"/>
    <n v="8"/>
    <n v="72.48"/>
    <s v="Store A"/>
    <x v="0"/>
    <n v="0.1"/>
    <x v="3"/>
    <n v="521.85599999999999"/>
    <x v="3"/>
    <m/>
    <n v="1"/>
    <s v="REG100889"/>
    <s v="Cust 4472"/>
    <n v="26.92"/>
    <x v="268"/>
    <d v="2024-10-17T00:00:00"/>
    <s v="Sophie"/>
  </r>
  <r>
    <d v="2024-06-03T00:00:00"/>
    <x v="0"/>
    <x v="1"/>
    <n v="4"/>
    <n v="194.09"/>
    <s v="Store D"/>
    <x v="0"/>
    <n v="0.1"/>
    <x v="0"/>
    <n v="698.72400000000005"/>
    <x v="2"/>
    <s v="WINTER15"/>
    <n v="0"/>
    <s v="REG100890"/>
    <s v="Cust 3899"/>
    <n v="26.35"/>
    <x v="189"/>
    <d v="2024-06-07T00:00:00"/>
    <s v="Eric"/>
  </r>
  <r>
    <d v="2025-03-26T00:00:00"/>
    <x v="1"/>
    <x v="1"/>
    <n v="3"/>
    <n v="159.30000000000001"/>
    <s v="Store B"/>
    <x v="0"/>
    <n v="0.05"/>
    <x v="0"/>
    <n v="454.005"/>
    <x v="2"/>
    <s v="SAVE10"/>
    <n v="1"/>
    <s v="REG100891"/>
    <s v="Cust 9467"/>
    <n v="45.34"/>
    <x v="582"/>
    <d v="2025-03-29T00:00:00"/>
    <s v="Sophie"/>
  </r>
  <r>
    <d v="2024-04-26T00:00:00"/>
    <x v="2"/>
    <x v="4"/>
    <n v="4"/>
    <n v="303.37"/>
    <s v="Store A"/>
    <x v="1"/>
    <n v="0.1"/>
    <x v="3"/>
    <n v="1092.1320000000001"/>
    <x v="1"/>
    <s v="WINTER15"/>
    <n v="0"/>
    <s v="REG100892"/>
    <s v="Cust 3824"/>
    <n v="30.19"/>
    <x v="478"/>
    <d v="2024-05-01T00:00:00"/>
    <s v="Ryan"/>
  </r>
  <r>
    <d v="2023-05-05T00:00:00"/>
    <x v="4"/>
    <x v="3"/>
    <n v="16"/>
    <n v="541.96"/>
    <s v="Store C"/>
    <x v="1"/>
    <n v="0.1"/>
    <x v="0"/>
    <n v="7804.2240000000011"/>
    <x v="4"/>
    <s v="SAVE10"/>
    <n v="1"/>
    <s v="REG100893"/>
    <s v="Cust 3511"/>
    <n v="9.93"/>
    <x v="583"/>
    <d v="2023-05-13T00:00:00"/>
    <s v="Wendy"/>
  </r>
  <r>
    <d v="2023-09-23T00:00:00"/>
    <x v="4"/>
    <x v="2"/>
    <n v="7"/>
    <n v="41.57"/>
    <s v="Store D"/>
    <x v="1"/>
    <n v="0"/>
    <x v="3"/>
    <n v="290.99"/>
    <x v="0"/>
    <m/>
    <n v="0"/>
    <s v="REG100894"/>
    <s v="Cust 3356"/>
    <n v="16.59"/>
    <x v="584"/>
    <d v="2023-09-29T00:00:00"/>
    <s v="Wendy"/>
  </r>
  <r>
    <d v="2025-03-08T00:00:00"/>
    <x v="1"/>
    <x v="4"/>
    <n v="16"/>
    <n v="217.74"/>
    <s v="Store A"/>
    <x v="0"/>
    <n v="0.15"/>
    <x v="2"/>
    <n v="2961.2640000000001"/>
    <x v="4"/>
    <s v="FREESHIP"/>
    <n v="1"/>
    <s v="REG100895"/>
    <s v="Cust 2840"/>
    <n v="25.11"/>
    <x v="251"/>
    <d v="2025-03-15T00:00:00"/>
    <s v="Sophie"/>
  </r>
  <r>
    <d v="2023-01-17T00:00:00"/>
    <x v="2"/>
    <x v="6"/>
    <n v="15"/>
    <n v="19.170000000000002"/>
    <s v="Store A"/>
    <x v="0"/>
    <n v="0"/>
    <x v="3"/>
    <n v="287.55"/>
    <x v="1"/>
    <s v="FREESHIP"/>
    <n v="1"/>
    <s v="REG100896"/>
    <s v="Cust 3811"/>
    <n v="48.93"/>
    <x v="585"/>
    <d v="2023-01-27T00:00:00"/>
    <s v="Ryan"/>
  </r>
  <r>
    <d v="2023-04-29T00:00:00"/>
    <x v="3"/>
    <x v="4"/>
    <n v="15"/>
    <n v="293.33999999999997"/>
    <s v="Store D"/>
    <x v="1"/>
    <n v="0.1"/>
    <x v="0"/>
    <n v="3960.09"/>
    <x v="2"/>
    <s v="WINTER15"/>
    <n v="0"/>
    <s v="REG100897"/>
    <s v="Cust 9960"/>
    <n v="21.03"/>
    <x v="431"/>
    <d v="2023-05-01T00:00:00"/>
    <s v="Cameron"/>
  </r>
  <r>
    <d v="2025-02-16T00:00:00"/>
    <x v="1"/>
    <x v="6"/>
    <n v="18"/>
    <n v="204.58"/>
    <s v="Store C"/>
    <x v="1"/>
    <n v="0.1"/>
    <x v="4"/>
    <n v="3314.1959999999999"/>
    <x v="4"/>
    <m/>
    <n v="0"/>
    <s v="REG100898"/>
    <s v="Cust 5906"/>
    <n v="16.04"/>
    <x v="586"/>
    <d v="2025-02-22T00:00:00"/>
    <s v="Sophie"/>
  </r>
  <r>
    <d v="2023-06-05T00:00:00"/>
    <x v="0"/>
    <x v="6"/>
    <n v="15"/>
    <n v="324.58"/>
    <s v="Store A"/>
    <x v="1"/>
    <n v="0.15"/>
    <x v="4"/>
    <n v="4138.3950000000004"/>
    <x v="3"/>
    <m/>
    <n v="0"/>
    <s v="REG100899"/>
    <s v="Cust 6579"/>
    <n v="24.57"/>
    <x v="587"/>
    <d v="2023-06-09T00:00:00"/>
    <s v="Eric"/>
  </r>
  <r>
    <d v="2023-08-28T00:00:00"/>
    <x v="1"/>
    <x v="1"/>
    <n v="11"/>
    <n v="393.61"/>
    <s v="Store D"/>
    <x v="0"/>
    <n v="0.05"/>
    <x v="2"/>
    <n v="4113.2245000000003"/>
    <x v="3"/>
    <s v="WINTER15"/>
    <n v="0"/>
    <s v="REG100900"/>
    <s v="Cust 1756"/>
    <n v="32.57"/>
    <x v="228"/>
    <d v="2023-09-06T00:00:00"/>
    <s v="Sophie"/>
  </r>
  <r>
    <d v="2023-08-01T00:00:00"/>
    <x v="2"/>
    <x v="6"/>
    <n v="8"/>
    <n v="141.28"/>
    <s v="Store D"/>
    <x v="0"/>
    <n v="0.05"/>
    <x v="2"/>
    <n v="1073.7280000000001"/>
    <x v="0"/>
    <s v="FREESHIP"/>
    <n v="0"/>
    <s v="REG100901"/>
    <s v="Cust 8150"/>
    <n v="28.69"/>
    <x v="588"/>
    <d v="2023-08-10T00:00:00"/>
    <s v="Ryan"/>
  </r>
  <r>
    <d v="2025-02-12T00:00:00"/>
    <x v="4"/>
    <x v="1"/>
    <n v="13"/>
    <n v="227.64"/>
    <s v="Store C"/>
    <x v="1"/>
    <n v="0.15"/>
    <x v="2"/>
    <n v="2515.422"/>
    <x v="4"/>
    <s v="FREESHIP"/>
    <n v="1"/>
    <s v="REG100902"/>
    <s v="Cust 8999"/>
    <n v="46.67"/>
    <x v="149"/>
    <d v="2025-02-20T00:00:00"/>
    <s v="Wendy"/>
  </r>
  <r>
    <d v="2023-07-03T00:00:00"/>
    <x v="3"/>
    <x v="0"/>
    <n v="19"/>
    <n v="341.07"/>
    <s v="Store C"/>
    <x v="1"/>
    <n v="0.1"/>
    <x v="3"/>
    <n v="5832.2969999999996"/>
    <x v="4"/>
    <s v="WINTER15"/>
    <n v="0"/>
    <s v="REG100903"/>
    <s v="Cust 4277"/>
    <n v="47.75"/>
    <x v="318"/>
    <d v="2023-07-06T00:00:00"/>
    <s v="Cameron"/>
  </r>
  <r>
    <d v="2025-05-09T00:00:00"/>
    <x v="3"/>
    <x v="1"/>
    <n v="20"/>
    <n v="324.55"/>
    <s v="Store B"/>
    <x v="0"/>
    <n v="0.05"/>
    <x v="0"/>
    <n v="6166.45"/>
    <x v="2"/>
    <s v="WINTER15"/>
    <n v="1"/>
    <s v="REG100904"/>
    <s v="Cust 8751"/>
    <n v="21.21"/>
    <x v="589"/>
    <d v="2025-05-13T00:00:00"/>
    <s v="Cameron"/>
  </r>
  <r>
    <d v="2024-05-05T00:00:00"/>
    <x v="4"/>
    <x v="2"/>
    <n v="16"/>
    <n v="301.07"/>
    <s v="Store B"/>
    <x v="1"/>
    <n v="0.1"/>
    <x v="3"/>
    <n v="4335.4080000000004"/>
    <x v="1"/>
    <s v="WINTER15"/>
    <n v="0"/>
    <s v="REG100905"/>
    <s v="Cust 2482"/>
    <n v="5.58"/>
    <x v="458"/>
    <d v="2024-05-14T00:00:00"/>
    <s v="Wendy"/>
  </r>
  <r>
    <d v="2024-01-08T00:00:00"/>
    <x v="1"/>
    <x v="4"/>
    <n v="13"/>
    <n v="285.27999999999997"/>
    <s v="Store D"/>
    <x v="1"/>
    <n v="0"/>
    <x v="0"/>
    <n v="3708.639999999999"/>
    <x v="1"/>
    <s v="SAVE10"/>
    <n v="0"/>
    <s v="REG100906"/>
    <s v="Cust 4078"/>
    <n v="31.2"/>
    <x v="590"/>
    <d v="2024-01-15T00:00:00"/>
    <s v="Sophie"/>
  </r>
  <r>
    <d v="2025-01-13T00:00:00"/>
    <x v="1"/>
    <x v="1"/>
    <n v="15"/>
    <n v="18.04"/>
    <s v="Store C"/>
    <x v="0"/>
    <n v="0"/>
    <x v="0"/>
    <n v="270.60000000000002"/>
    <x v="2"/>
    <s v="SAVE10"/>
    <n v="1"/>
    <s v="REG100907"/>
    <s v="Cust 9091"/>
    <n v="14.35"/>
    <x v="427"/>
    <d v="2025-01-17T00:00:00"/>
    <s v="Sophie"/>
  </r>
  <r>
    <d v="2025-06-12T00:00:00"/>
    <x v="0"/>
    <x v="6"/>
    <n v="11"/>
    <n v="495.44"/>
    <s v="Store A"/>
    <x v="0"/>
    <n v="0"/>
    <x v="5"/>
    <n v="5449.84"/>
    <x v="1"/>
    <s v="FREESHIP"/>
    <n v="0"/>
    <s v="REG100908"/>
    <s v="Cust 8706"/>
    <n v="44.77"/>
    <x v="103"/>
    <d v="2025-06-18T00:00:00"/>
    <s v="Eric"/>
  </r>
  <r>
    <d v="2025-04-03T00:00:00"/>
    <x v="2"/>
    <x v="0"/>
    <n v="12"/>
    <n v="276.42"/>
    <s v="Store C"/>
    <x v="1"/>
    <n v="0.15"/>
    <x v="3"/>
    <n v="2819.4839999999999"/>
    <x v="0"/>
    <m/>
    <n v="0"/>
    <s v="REG100909"/>
    <s v="Cust 5042"/>
    <n v="30.57"/>
    <x v="591"/>
    <d v="2025-04-12T00:00:00"/>
    <s v="Ryan"/>
  </r>
  <r>
    <d v="2023-01-26T00:00:00"/>
    <x v="3"/>
    <x v="2"/>
    <n v="7"/>
    <n v="228.32"/>
    <s v="Store C"/>
    <x v="0"/>
    <n v="0.15"/>
    <x v="0"/>
    <n v="1358.5039999999999"/>
    <x v="3"/>
    <s v="FREESHIP"/>
    <n v="0"/>
    <s v="REG100910"/>
    <s v="Cust 3319"/>
    <n v="22.16"/>
    <x v="592"/>
    <d v="2023-01-30T00:00:00"/>
    <s v="Cameron"/>
  </r>
  <r>
    <d v="2023-01-07T00:00:00"/>
    <x v="3"/>
    <x v="4"/>
    <n v="1"/>
    <n v="498.19"/>
    <s v="Store A"/>
    <x v="0"/>
    <n v="0.1"/>
    <x v="5"/>
    <n v="448.37099999999998"/>
    <x v="1"/>
    <s v="SAVE10"/>
    <n v="0"/>
    <s v="REG100911"/>
    <s v="Cust 4139"/>
    <n v="25.55"/>
    <x v="455"/>
    <d v="2023-01-11T00:00:00"/>
    <s v="Cameron"/>
  </r>
  <r>
    <d v="2025-01-15T00:00:00"/>
    <x v="2"/>
    <x v="2"/>
    <n v="18"/>
    <n v="375.83"/>
    <s v="Store C"/>
    <x v="1"/>
    <n v="0.1"/>
    <x v="3"/>
    <n v="6088.4459999999999"/>
    <x v="1"/>
    <m/>
    <n v="0"/>
    <s v="REG100912"/>
    <s v="Cust 6993"/>
    <n v="15.13"/>
    <x v="593"/>
    <d v="2025-01-23T00:00:00"/>
    <s v="Ryan"/>
  </r>
  <r>
    <d v="2024-11-30T00:00:00"/>
    <x v="0"/>
    <x v="3"/>
    <n v="18"/>
    <n v="130.36000000000001"/>
    <s v="Store B"/>
    <x v="0"/>
    <n v="0"/>
    <x v="4"/>
    <n v="2346.48"/>
    <x v="3"/>
    <s v="SAVE10"/>
    <n v="0"/>
    <s v="REG100913"/>
    <s v="Cust 8397"/>
    <n v="34.6"/>
    <x v="594"/>
    <d v="2024-12-05T00:00:00"/>
    <s v="Eric"/>
  </r>
  <r>
    <d v="2024-02-26T00:00:00"/>
    <x v="0"/>
    <x v="4"/>
    <n v="13"/>
    <n v="585.88"/>
    <s v="Store B"/>
    <x v="1"/>
    <n v="0.15"/>
    <x v="3"/>
    <n v="6473.9739999999993"/>
    <x v="2"/>
    <s v="WINTER15"/>
    <n v="0"/>
    <s v="REG100914"/>
    <s v="Cust 3082"/>
    <n v="42.18"/>
    <x v="361"/>
    <d v="2024-03-07T00:00:00"/>
    <s v="Eric"/>
  </r>
  <r>
    <d v="2025-06-11T00:00:00"/>
    <x v="2"/>
    <x v="2"/>
    <n v="19"/>
    <n v="278.04000000000002"/>
    <s v="Store B"/>
    <x v="1"/>
    <n v="0.05"/>
    <x v="5"/>
    <n v="5018.6220000000003"/>
    <x v="2"/>
    <s v="SAVE10"/>
    <n v="0"/>
    <s v="REG100915"/>
    <s v="Cust 1156"/>
    <n v="16.399999999999999"/>
    <x v="54"/>
    <d v="2025-06-15T00:00:00"/>
    <s v="Ryan"/>
  </r>
  <r>
    <d v="2023-11-29T00:00:00"/>
    <x v="3"/>
    <x v="1"/>
    <n v="11"/>
    <n v="267.91000000000003"/>
    <s v="Store B"/>
    <x v="1"/>
    <n v="0"/>
    <x v="0"/>
    <n v="2947.01"/>
    <x v="3"/>
    <m/>
    <n v="0"/>
    <s v="REG100916"/>
    <s v="Cust 4720"/>
    <n v="12.05"/>
    <x v="348"/>
    <d v="2023-12-04T00:00:00"/>
    <s v="Cameron"/>
  </r>
  <r>
    <d v="2024-06-27T00:00:00"/>
    <x v="1"/>
    <x v="3"/>
    <n v="12"/>
    <n v="369.54"/>
    <s v="Store B"/>
    <x v="1"/>
    <n v="0.05"/>
    <x v="4"/>
    <n v="4212.7560000000003"/>
    <x v="3"/>
    <s v="WINTER15"/>
    <n v="1"/>
    <s v="REG100917"/>
    <s v="Cust 7034"/>
    <n v="39.159999999999997"/>
    <x v="595"/>
    <d v="2024-07-05T00:00:00"/>
    <s v="Sophie"/>
  </r>
  <r>
    <d v="2024-05-20T00:00:00"/>
    <x v="1"/>
    <x v="4"/>
    <n v="13"/>
    <n v="284.3"/>
    <s v="Store A"/>
    <x v="0"/>
    <n v="0.05"/>
    <x v="5"/>
    <n v="3511.105"/>
    <x v="0"/>
    <s v="WINTER15"/>
    <n v="0"/>
    <s v="REG100918"/>
    <s v="Cust 7218"/>
    <n v="48.73"/>
    <x v="510"/>
    <d v="2024-05-27T00:00:00"/>
    <s v="Sophie"/>
  </r>
  <r>
    <d v="2023-06-17T00:00:00"/>
    <x v="4"/>
    <x v="3"/>
    <n v="12"/>
    <n v="427.1"/>
    <s v="Store C"/>
    <x v="1"/>
    <n v="0"/>
    <x v="3"/>
    <n v="5125.2000000000007"/>
    <x v="1"/>
    <s v="WINTER15"/>
    <n v="1"/>
    <s v="REG100919"/>
    <s v="Cust 2651"/>
    <n v="8.11"/>
    <x v="357"/>
    <d v="2023-06-22T00:00:00"/>
    <s v="Wendy"/>
  </r>
  <r>
    <d v="2024-11-06T00:00:00"/>
    <x v="0"/>
    <x v="4"/>
    <n v="11"/>
    <n v="200.3"/>
    <s v="Store D"/>
    <x v="1"/>
    <n v="0.1"/>
    <x v="0"/>
    <n v="1982.97"/>
    <x v="3"/>
    <s v="WINTER15"/>
    <n v="1"/>
    <s v="REG100920"/>
    <s v="Cust 1252"/>
    <n v="48.27"/>
    <x v="158"/>
    <d v="2024-11-13T00:00:00"/>
    <s v="Eric"/>
  </r>
  <r>
    <d v="2025-02-12T00:00:00"/>
    <x v="2"/>
    <x v="6"/>
    <n v="4"/>
    <n v="75.8"/>
    <s v="Store C"/>
    <x v="1"/>
    <n v="0.15"/>
    <x v="3"/>
    <n v="257.72000000000003"/>
    <x v="2"/>
    <s v="SAVE10"/>
    <n v="0"/>
    <s v="REG100921"/>
    <s v="Cust 6679"/>
    <n v="12.22"/>
    <x v="149"/>
    <d v="2025-02-20T00:00:00"/>
    <s v="Ryan"/>
  </r>
  <r>
    <d v="2025-04-09T00:00:00"/>
    <x v="2"/>
    <x v="4"/>
    <n v="4"/>
    <n v="518.42999999999995"/>
    <s v="Store A"/>
    <x v="0"/>
    <n v="0"/>
    <x v="1"/>
    <n v="2073.7199999999998"/>
    <x v="0"/>
    <s v="SAVE10"/>
    <n v="0"/>
    <s v="REG100922"/>
    <s v="Cust 1656"/>
    <n v="30.86"/>
    <x v="320"/>
    <d v="2025-04-14T00:00:00"/>
    <s v="Ryan"/>
  </r>
  <r>
    <d v="2024-08-18T00:00:00"/>
    <x v="2"/>
    <x v="5"/>
    <n v="19"/>
    <n v="181.18"/>
    <s v="Store A"/>
    <x v="0"/>
    <n v="0.05"/>
    <x v="3"/>
    <n v="3270.299"/>
    <x v="2"/>
    <s v="FREESHIP"/>
    <n v="0"/>
    <s v="REG100923"/>
    <s v="Cust 9361"/>
    <n v="12.04"/>
    <x v="596"/>
    <d v="2024-08-26T00:00:00"/>
    <s v="Ryan"/>
  </r>
  <r>
    <d v="2023-02-20T00:00:00"/>
    <x v="3"/>
    <x v="0"/>
    <n v="3"/>
    <n v="197.17"/>
    <s v="Store A"/>
    <x v="0"/>
    <n v="0.05"/>
    <x v="2"/>
    <n v="561.93449999999996"/>
    <x v="1"/>
    <s v="FREESHIP"/>
    <n v="1"/>
    <s v="REG100924"/>
    <s v="Cust 4270"/>
    <n v="30.29"/>
    <x v="597"/>
    <d v="2023-02-23T00:00:00"/>
    <s v="Cameron"/>
  </r>
  <r>
    <d v="2025-04-28T00:00:00"/>
    <x v="2"/>
    <x v="0"/>
    <n v="6"/>
    <n v="81.96"/>
    <s v="Store D"/>
    <x v="0"/>
    <n v="0.05"/>
    <x v="4"/>
    <n v="467.17200000000003"/>
    <x v="2"/>
    <s v="WINTER15"/>
    <n v="0"/>
    <s v="REG100925"/>
    <s v="Cust 3049"/>
    <n v="26.43"/>
    <x v="598"/>
    <d v="2025-05-08T00:00:00"/>
    <s v="Ryan"/>
  </r>
  <r>
    <d v="2023-08-10T00:00:00"/>
    <x v="3"/>
    <x v="6"/>
    <n v="3"/>
    <n v="59.78"/>
    <s v="Store C"/>
    <x v="1"/>
    <n v="0"/>
    <x v="0"/>
    <n v="179.34"/>
    <x v="0"/>
    <s v="SAVE10"/>
    <n v="0"/>
    <s v="REG100926"/>
    <s v="Cust 6415"/>
    <n v="46.98"/>
    <x v="39"/>
    <d v="2023-08-13T00:00:00"/>
    <s v="Cameron"/>
  </r>
  <r>
    <d v="2024-06-24T00:00:00"/>
    <x v="2"/>
    <x v="5"/>
    <n v="12"/>
    <n v="211.66"/>
    <s v="Store A"/>
    <x v="0"/>
    <n v="0.1"/>
    <x v="3"/>
    <n v="2285.9279999999999"/>
    <x v="2"/>
    <s v="SAVE10"/>
    <n v="0"/>
    <s v="REG100927"/>
    <s v="Cust 9856"/>
    <n v="10.36"/>
    <x v="503"/>
    <d v="2024-06-29T00:00:00"/>
    <s v="Ryan"/>
  </r>
  <r>
    <d v="2023-08-06T00:00:00"/>
    <x v="3"/>
    <x v="6"/>
    <n v="13"/>
    <n v="69.97"/>
    <s v="Store A"/>
    <x v="0"/>
    <n v="0.05"/>
    <x v="1"/>
    <n v="864.12950000000001"/>
    <x v="3"/>
    <m/>
    <n v="0"/>
    <s v="REG100928"/>
    <s v="Cust 3106"/>
    <n v="27.66"/>
    <x v="23"/>
    <d v="2023-08-12T00:00:00"/>
    <s v="Cameron"/>
  </r>
  <r>
    <d v="2024-11-26T00:00:00"/>
    <x v="0"/>
    <x v="5"/>
    <n v="7"/>
    <n v="438.33"/>
    <s v="Store C"/>
    <x v="1"/>
    <n v="0.1"/>
    <x v="2"/>
    <n v="2761.4789999999998"/>
    <x v="4"/>
    <m/>
    <n v="1"/>
    <s v="REG100929"/>
    <s v="Cust 3259"/>
    <n v="11.57"/>
    <x v="570"/>
    <d v="2024-11-30T00:00:00"/>
    <s v="Eric"/>
  </r>
  <r>
    <d v="2025-02-06T00:00:00"/>
    <x v="0"/>
    <x v="0"/>
    <n v="7"/>
    <n v="241.81"/>
    <s v="Store C"/>
    <x v="0"/>
    <n v="0.1"/>
    <x v="1"/>
    <n v="1523.403"/>
    <x v="3"/>
    <s v="FREESHIP"/>
    <n v="0"/>
    <s v="REG100930"/>
    <s v="Cust 7107"/>
    <n v="32.94"/>
    <x v="323"/>
    <d v="2025-02-10T00:00:00"/>
    <s v="Eric"/>
  </r>
  <r>
    <d v="2025-03-20T00:00:00"/>
    <x v="0"/>
    <x v="2"/>
    <n v="3"/>
    <n v="466.64"/>
    <s v="Store A"/>
    <x v="1"/>
    <n v="0.15"/>
    <x v="5"/>
    <n v="1189.932"/>
    <x v="0"/>
    <s v="FREESHIP"/>
    <n v="0"/>
    <s v="REG100931"/>
    <s v="Cust 7542"/>
    <n v="30.33"/>
    <x v="192"/>
    <d v="2025-03-26T00:00:00"/>
    <s v="Eric"/>
  </r>
  <r>
    <d v="2024-09-10T00:00:00"/>
    <x v="1"/>
    <x v="4"/>
    <n v="9"/>
    <n v="472.84"/>
    <s v="Store D"/>
    <x v="1"/>
    <n v="0.05"/>
    <x v="1"/>
    <n v="4042.7819999999988"/>
    <x v="2"/>
    <s v="WINTER15"/>
    <n v="0"/>
    <s v="REG100932"/>
    <s v="Cust 6330"/>
    <n v="48.13"/>
    <x v="328"/>
    <d v="2024-09-12T00:00:00"/>
    <s v="Sophie"/>
  </r>
  <r>
    <d v="2025-02-20T00:00:00"/>
    <x v="1"/>
    <x v="3"/>
    <n v="19"/>
    <n v="586.49"/>
    <s v="Store A"/>
    <x v="0"/>
    <n v="0.1"/>
    <x v="0"/>
    <n v="10028.978999999999"/>
    <x v="4"/>
    <s v="SAVE10"/>
    <n v="0"/>
    <s v="REG100933"/>
    <s v="Cust 1469"/>
    <n v="19.850000000000001"/>
    <x v="241"/>
    <d v="2025-03-02T00:00:00"/>
    <s v="Sophie"/>
  </r>
  <r>
    <d v="2023-01-20T00:00:00"/>
    <x v="0"/>
    <x v="3"/>
    <n v="15"/>
    <n v="462.85"/>
    <s v="Store A"/>
    <x v="1"/>
    <n v="0.15"/>
    <x v="4"/>
    <n v="5901.3374999999996"/>
    <x v="2"/>
    <m/>
    <n v="0"/>
    <s v="REG100934"/>
    <s v="Cust 3698"/>
    <n v="46.12"/>
    <x v="411"/>
    <d v="2023-01-26T00:00:00"/>
    <s v="Eric"/>
  </r>
  <r>
    <d v="2024-03-03T00:00:00"/>
    <x v="0"/>
    <x v="0"/>
    <n v="1"/>
    <n v="176.17"/>
    <s v="Store C"/>
    <x v="1"/>
    <n v="0.05"/>
    <x v="1"/>
    <n v="167.36150000000001"/>
    <x v="3"/>
    <m/>
    <n v="1"/>
    <s v="REG100935"/>
    <s v="Cust 9833"/>
    <n v="35.770000000000003"/>
    <x v="69"/>
    <d v="2024-03-06T00:00:00"/>
    <s v="Eric"/>
  </r>
  <r>
    <d v="2023-11-27T00:00:00"/>
    <x v="4"/>
    <x v="6"/>
    <n v="1"/>
    <n v="71.239999999999995"/>
    <s v="Store A"/>
    <x v="1"/>
    <n v="0.1"/>
    <x v="3"/>
    <n v="64.116"/>
    <x v="3"/>
    <m/>
    <n v="1"/>
    <s v="REG100936"/>
    <s v="Cust 1074"/>
    <n v="43.69"/>
    <x v="165"/>
    <d v="2023-12-03T00:00:00"/>
    <s v="Wendy"/>
  </r>
  <r>
    <d v="2024-11-10T00:00:00"/>
    <x v="0"/>
    <x v="0"/>
    <n v="6"/>
    <n v="62.43"/>
    <s v="Store A"/>
    <x v="0"/>
    <n v="0"/>
    <x v="4"/>
    <n v="374.58"/>
    <x v="1"/>
    <s v="WINTER15"/>
    <n v="0"/>
    <s v="REG100937"/>
    <s v="Cust 7891"/>
    <n v="17.850000000000001"/>
    <x v="329"/>
    <d v="2024-11-18T00:00:00"/>
    <s v="Eric"/>
  </r>
  <r>
    <d v="2025-02-04T00:00:00"/>
    <x v="3"/>
    <x v="5"/>
    <n v="7"/>
    <n v="569.89"/>
    <s v="Store D"/>
    <x v="0"/>
    <n v="0.1"/>
    <x v="1"/>
    <n v="3590.3069999999998"/>
    <x v="4"/>
    <s v="SAVE10"/>
    <n v="0"/>
    <s v="REG100938"/>
    <s v="Cust 3373"/>
    <n v="26.81"/>
    <x v="599"/>
    <d v="2025-02-08T00:00:00"/>
    <s v="Cameron"/>
  </r>
  <r>
    <d v="2024-02-21T00:00:00"/>
    <x v="0"/>
    <x v="2"/>
    <n v="5"/>
    <n v="34.06"/>
    <s v="Store D"/>
    <x v="0"/>
    <n v="0.05"/>
    <x v="4"/>
    <n v="161.785"/>
    <x v="1"/>
    <m/>
    <n v="0"/>
    <s v="REG100939"/>
    <s v="Cust 9045"/>
    <n v="19.72"/>
    <x v="600"/>
    <d v="2024-03-02T00:00:00"/>
    <s v="Eric"/>
  </r>
  <r>
    <d v="2023-03-24T00:00:00"/>
    <x v="0"/>
    <x v="2"/>
    <n v="17"/>
    <n v="502.6"/>
    <s v="Store A"/>
    <x v="0"/>
    <n v="0.1"/>
    <x v="2"/>
    <n v="7689.7800000000007"/>
    <x v="4"/>
    <m/>
    <n v="0"/>
    <s v="REG100940"/>
    <s v="Cust 9197"/>
    <n v="15.38"/>
    <x v="601"/>
    <d v="2023-03-29T00:00:00"/>
    <s v="Eric"/>
  </r>
  <r>
    <d v="2024-05-05T00:00:00"/>
    <x v="1"/>
    <x v="6"/>
    <n v="3"/>
    <n v="89.72"/>
    <s v="Store D"/>
    <x v="0"/>
    <n v="0.1"/>
    <x v="1"/>
    <n v="242.244"/>
    <x v="1"/>
    <s v="WINTER15"/>
    <n v="0"/>
    <s v="REG100941"/>
    <s v="Cust 6920"/>
    <n v="32.67"/>
    <x v="458"/>
    <d v="2024-05-13T00:00:00"/>
    <s v="Sophie"/>
  </r>
  <r>
    <d v="2024-10-04T00:00:00"/>
    <x v="1"/>
    <x v="0"/>
    <n v="18"/>
    <n v="403.53"/>
    <s v="Store D"/>
    <x v="0"/>
    <n v="0.1"/>
    <x v="1"/>
    <n v="6537.1859999999997"/>
    <x v="0"/>
    <m/>
    <n v="0"/>
    <s v="REG100942"/>
    <s v="Cust 9652"/>
    <n v="35.729999999999997"/>
    <x v="574"/>
    <d v="2024-10-07T00:00:00"/>
    <s v="Sophie"/>
  </r>
  <r>
    <d v="2025-01-04T00:00:00"/>
    <x v="1"/>
    <x v="3"/>
    <n v="2"/>
    <n v="194.97"/>
    <s v="Store A"/>
    <x v="1"/>
    <n v="0"/>
    <x v="4"/>
    <n v="389.94"/>
    <x v="2"/>
    <s v="SAVE10"/>
    <n v="0"/>
    <s v="REG100943"/>
    <s v="Cust 4189"/>
    <n v="9.89"/>
    <x v="602"/>
    <d v="2025-01-14T00:00:00"/>
    <s v="Sophie"/>
  </r>
  <r>
    <d v="2024-12-23T00:00:00"/>
    <x v="3"/>
    <x v="6"/>
    <n v="12"/>
    <n v="171.91"/>
    <s v="Store B"/>
    <x v="1"/>
    <n v="0.05"/>
    <x v="0"/>
    <n v="1959.7739999999999"/>
    <x v="2"/>
    <s v="WINTER15"/>
    <n v="0"/>
    <s v="REG100944"/>
    <s v="Cust 6267"/>
    <n v="34.36"/>
    <x v="473"/>
    <d v="2025-01-02T00:00:00"/>
    <s v="Cameron"/>
  </r>
  <r>
    <d v="2023-01-29T00:00:00"/>
    <x v="3"/>
    <x v="0"/>
    <n v="17"/>
    <n v="535.88"/>
    <s v="Store A"/>
    <x v="0"/>
    <n v="0.05"/>
    <x v="5"/>
    <n v="8654.4619999999995"/>
    <x v="1"/>
    <m/>
    <n v="0"/>
    <s v="REG100945"/>
    <s v="Cust 7753"/>
    <n v="26.12"/>
    <x v="603"/>
    <d v="2023-02-08T00:00:00"/>
    <s v="Cameron"/>
  </r>
  <r>
    <d v="2024-08-11T00:00:00"/>
    <x v="4"/>
    <x v="3"/>
    <n v="12"/>
    <n v="248.13"/>
    <s v="Store A"/>
    <x v="1"/>
    <n v="0.05"/>
    <x v="1"/>
    <n v="2828.6819999999998"/>
    <x v="4"/>
    <s v="FREESHIP"/>
    <n v="0"/>
    <s v="REG100946"/>
    <s v="Cust 2789"/>
    <n v="26.03"/>
    <x v="111"/>
    <d v="2024-08-17T00:00:00"/>
    <s v="Wendy"/>
  </r>
  <r>
    <d v="2023-11-25T00:00:00"/>
    <x v="2"/>
    <x v="1"/>
    <n v="2"/>
    <n v="482.1"/>
    <s v="Store C"/>
    <x v="1"/>
    <n v="0"/>
    <x v="3"/>
    <n v="964.2"/>
    <x v="0"/>
    <s v="FREESHIP"/>
    <n v="0"/>
    <s v="REG100947"/>
    <s v="Cust 3527"/>
    <n v="45.35"/>
    <x v="425"/>
    <d v="2023-11-30T00:00:00"/>
    <s v="Ryan"/>
  </r>
  <r>
    <d v="2025-03-04T00:00:00"/>
    <x v="2"/>
    <x v="4"/>
    <n v="18"/>
    <n v="382.01"/>
    <s v="Store D"/>
    <x v="0"/>
    <n v="0.1"/>
    <x v="1"/>
    <n v="6188.5620000000008"/>
    <x v="0"/>
    <s v="SAVE10"/>
    <n v="0"/>
    <s v="REG100948"/>
    <s v="Cust 9538"/>
    <n v="36.549999999999997"/>
    <x v="155"/>
    <d v="2025-03-08T00:00:00"/>
    <s v="Ryan"/>
  </r>
  <r>
    <d v="2025-02-21T00:00:00"/>
    <x v="2"/>
    <x v="1"/>
    <n v="13"/>
    <n v="135.97999999999999"/>
    <s v="Store C"/>
    <x v="0"/>
    <n v="0"/>
    <x v="2"/>
    <n v="1767.74"/>
    <x v="0"/>
    <s v="WINTER15"/>
    <n v="0"/>
    <s v="REG100949"/>
    <s v="Cust 7195"/>
    <n v="28.35"/>
    <x v="383"/>
    <d v="2025-03-01T00:00:00"/>
    <s v="Ryan"/>
  </r>
  <r>
    <d v="2025-02-26T00:00:00"/>
    <x v="0"/>
    <x v="2"/>
    <n v="9"/>
    <n v="562.54"/>
    <s v="Store A"/>
    <x v="0"/>
    <n v="0"/>
    <x v="1"/>
    <n v="5062.8599999999997"/>
    <x v="2"/>
    <s v="FREESHIP"/>
    <n v="0"/>
    <s v="REG100950"/>
    <s v="Cust 8929"/>
    <n v="30.27"/>
    <x v="3"/>
    <d v="2025-02-28T00:00:00"/>
    <s v="Eric"/>
  </r>
  <r>
    <d v="2024-03-29T00:00:00"/>
    <x v="0"/>
    <x v="4"/>
    <n v="6"/>
    <n v="509.48"/>
    <s v="Store B"/>
    <x v="0"/>
    <n v="0"/>
    <x v="1"/>
    <n v="3056.88"/>
    <x v="3"/>
    <s v="WINTER15"/>
    <n v="0"/>
    <s v="REG100951"/>
    <s v="Cust 8931"/>
    <n v="35.92"/>
    <x v="604"/>
    <d v="2024-04-06T00:00:00"/>
    <s v="Eric"/>
  </r>
  <r>
    <d v="2025-05-28T00:00:00"/>
    <x v="4"/>
    <x v="2"/>
    <n v="3"/>
    <n v="470.09"/>
    <s v="Store B"/>
    <x v="0"/>
    <n v="0"/>
    <x v="0"/>
    <n v="1410.27"/>
    <x v="1"/>
    <m/>
    <n v="0"/>
    <s v="REG100952"/>
    <s v="Cust 1424"/>
    <n v="38.29"/>
    <x v="605"/>
    <d v="2025-06-01T00:00:00"/>
    <s v="Wendy"/>
  </r>
  <r>
    <d v="2024-05-24T00:00:00"/>
    <x v="4"/>
    <x v="6"/>
    <n v="10"/>
    <n v="280.8"/>
    <s v="Store C"/>
    <x v="1"/>
    <n v="0"/>
    <x v="1"/>
    <n v="2808"/>
    <x v="2"/>
    <s v="SAVE10"/>
    <n v="0"/>
    <s v="REG100953"/>
    <s v="Cust 6723"/>
    <n v="49.98"/>
    <x v="606"/>
    <d v="2024-05-30T00:00:00"/>
    <s v="Wendy"/>
  </r>
  <r>
    <d v="2023-05-12T00:00:00"/>
    <x v="1"/>
    <x v="3"/>
    <n v="9"/>
    <n v="251.43"/>
    <s v="Store C"/>
    <x v="1"/>
    <n v="0.1"/>
    <x v="2"/>
    <n v="2036.5830000000001"/>
    <x v="2"/>
    <m/>
    <n v="0"/>
    <s v="REG100954"/>
    <s v="Cust 8850"/>
    <n v="22.57"/>
    <x v="551"/>
    <d v="2023-05-17T00:00:00"/>
    <s v="Sophie"/>
  </r>
  <r>
    <d v="2023-10-11T00:00:00"/>
    <x v="1"/>
    <x v="1"/>
    <n v="4"/>
    <n v="408.28"/>
    <s v="Store A"/>
    <x v="1"/>
    <n v="0.15"/>
    <x v="1"/>
    <n v="1388.152"/>
    <x v="4"/>
    <s v="WINTER15"/>
    <n v="0"/>
    <s v="REG100955"/>
    <s v="Cust 1722"/>
    <n v="5.38"/>
    <x v="535"/>
    <d v="2023-10-15T00:00:00"/>
    <s v="Sophie"/>
  </r>
  <r>
    <d v="2024-01-25T00:00:00"/>
    <x v="2"/>
    <x v="6"/>
    <n v="2"/>
    <n v="27.43"/>
    <s v="Store B"/>
    <x v="1"/>
    <n v="0.15"/>
    <x v="2"/>
    <n v="46.631"/>
    <x v="0"/>
    <s v="WINTER15"/>
    <n v="0"/>
    <s v="REG100956"/>
    <s v="Cust 1211"/>
    <n v="6.15"/>
    <x v="109"/>
    <d v="2024-02-01T00:00:00"/>
    <s v="Ryan"/>
  </r>
  <r>
    <d v="2023-02-03T00:00:00"/>
    <x v="0"/>
    <x v="1"/>
    <n v="11"/>
    <n v="321.72000000000003"/>
    <s v="Store A"/>
    <x v="1"/>
    <n v="0.1"/>
    <x v="3"/>
    <n v="3185.0279999999998"/>
    <x v="0"/>
    <s v="WINTER15"/>
    <n v="1"/>
    <s v="REG100957"/>
    <s v="Cust 9384"/>
    <n v="17.940000000000001"/>
    <x v="151"/>
    <d v="2023-02-06T00:00:00"/>
    <s v="Eric"/>
  </r>
  <r>
    <d v="2024-07-08T00:00:00"/>
    <x v="2"/>
    <x v="2"/>
    <n v="5"/>
    <n v="186.32"/>
    <s v="Store A"/>
    <x v="0"/>
    <n v="0.1"/>
    <x v="3"/>
    <n v="838.43999999999994"/>
    <x v="1"/>
    <s v="WINTER15"/>
    <n v="0"/>
    <s v="REG100958"/>
    <s v="Cust 3809"/>
    <n v="17.09"/>
    <x v="172"/>
    <d v="2024-07-14T00:00:00"/>
    <s v="Ryan"/>
  </r>
  <r>
    <d v="2025-05-31T00:00:00"/>
    <x v="1"/>
    <x v="4"/>
    <n v="3"/>
    <n v="390.28"/>
    <s v="Store B"/>
    <x v="1"/>
    <n v="0"/>
    <x v="2"/>
    <n v="1170.8399999999999"/>
    <x v="0"/>
    <s v="WINTER15"/>
    <n v="1"/>
    <s v="REG100959"/>
    <s v="Cust 9338"/>
    <n v="45.22"/>
    <x v="534"/>
    <d v="2025-06-10T00:00:00"/>
    <s v="Sophie"/>
  </r>
  <r>
    <d v="2023-11-09T00:00:00"/>
    <x v="1"/>
    <x v="4"/>
    <n v="13"/>
    <n v="174.9"/>
    <s v="Store A"/>
    <x v="0"/>
    <n v="0.15"/>
    <x v="3"/>
    <n v="1932.645"/>
    <x v="0"/>
    <s v="WINTER15"/>
    <n v="0"/>
    <s v="REG100960"/>
    <s v="Cust 1822"/>
    <n v="31.26"/>
    <x v="254"/>
    <d v="2023-11-12T00:00:00"/>
    <s v="Sophie"/>
  </r>
  <r>
    <d v="2023-07-06T00:00:00"/>
    <x v="2"/>
    <x v="3"/>
    <n v="8"/>
    <n v="419.13"/>
    <s v="Store A"/>
    <x v="1"/>
    <n v="0.1"/>
    <x v="1"/>
    <n v="3017.7359999999999"/>
    <x v="0"/>
    <m/>
    <n v="1"/>
    <s v="REG100961"/>
    <s v="Cust 8260"/>
    <n v="11.02"/>
    <x v="607"/>
    <d v="2023-07-10T00:00:00"/>
    <s v="Ryan"/>
  </r>
  <r>
    <d v="2023-07-14T00:00:00"/>
    <x v="2"/>
    <x v="3"/>
    <n v="12"/>
    <n v="116.96"/>
    <s v="Store D"/>
    <x v="0"/>
    <n v="0"/>
    <x v="1"/>
    <n v="1403.52"/>
    <x v="1"/>
    <s v="WINTER15"/>
    <n v="0"/>
    <s v="REG100962"/>
    <s v="Cust 7088"/>
    <n v="22.04"/>
    <x v="123"/>
    <d v="2023-07-22T00:00:00"/>
    <s v="Ryan"/>
  </r>
  <r>
    <d v="2023-11-13T00:00:00"/>
    <x v="4"/>
    <x v="3"/>
    <n v="11"/>
    <n v="323.72000000000003"/>
    <s v="Store A"/>
    <x v="0"/>
    <n v="0.1"/>
    <x v="5"/>
    <n v="3204.828"/>
    <x v="1"/>
    <s v="WINTER15"/>
    <n v="0"/>
    <s v="REG100963"/>
    <s v="Cust 4969"/>
    <n v="7.52"/>
    <x v="327"/>
    <d v="2023-11-15T00:00:00"/>
    <s v="Wendy"/>
  </r>
  <r>
    <d v="2025-02-02T00:00:00"/>
    <x v="4"/>
    <x v="5"/>
    <n v="11"/>
    <n v="155.49"/>
    <s v="Store D"/>
    <x v="1"/>
    <n v="0.05"/>
    <x v="2"/>
    <n v="1624.8705"/>
    <x v="4"/>
    <m/>
    <n v="0"/>
    <s v="REG100964"/>
    <s v="Cust 9046"/>
    <n v="47.01"/>
    <x v="170"/>
    <d v="2025-02-12T00:00:00"/>
    <s v="Wendy"/>
  </r>
  <r>
    <d v="2024-05-06T00:00:00"/>
    <x v="1"/>
    <x v="6"/>
    <n v="20"/>
    <n v="270.2"/>
    <s v="Store A"/>
    <x v="0"/>
    <n v="0"/>
    <x v="4"/>
    <n v="5404"/>
    <x v="2"/>
    <s v="WINTER15"/>
    <n v="0"/>
    <s v="REG100965"/>
    <s v="Cust 6859"/>
    <n v="6.8"/>
    <x v="563"/>
    <d v="2024-05-15T00:00:00"/>
    <s v="Sophie"/>
  </r>
  <r>
    <d v="2024-10-17T00:00:00"/>
    <x v="1"/>
    <x v="6"/>
    <n v="15"/>
    <n v="482.08"/>
    <s v="Store D"/>
    <x v="1"/>
    <n v="0.1"/>
    <x v="0"/>
    <n v="6508.08"/>
    <x v="3"/>
    <s v="FREESHIP"/>
    <n v="1"/>
    <s v="REG100966"/>
    <s v="Cust 2800"/>
    <n v="13.35"/>
    <x v="386"/>
    <d v="2024-10-19T00:00:00"/>
    <s v="Sophie"/>
  </r>
  <r>
    <d v="2025-01-29T00:00:00"/>
    <x v="2"/>
    <x v="0"/>
    <n v="11"/>
    <n v="431.51"/>
    <s v="Store C"/>
    <x v="0"/>
    <n v="0.1"/>
    <x v="3"/>
    <n v="4271.9489999999996"/>
    <x v="3"/>
    <s v="SAVE10"/>
    <n v="0"/>
    <s v="REG100967"/>
    <s v="Cust 1146"/>
    <n v="22.83"/>
    <x v="608"/>
    <d v="2025-02-05T00:00:00"/>
    <s v="Ryan"/>
  </r>
  <r>
    <d v="2025-03-23T00:00:00"/>
    <x v="3"/>
    <x v="3"/>
    <n v="5"/>
    <n v="302.76"/>
    <s v="Store D"/>
    <x v="0"/>
    <n v="0"/>
    <x v="3"/>
    <n v="1513.8"/>
    <x v="1"/>
    <s v="FREESHIP"/>
    <n v="1"/>
    <s v="REG100968"/>
    <s v="Cust 6447"/>
    <n v="46.69"/>
    <x v="609"/>
    <d v="2025-03-29T00:00:00"/>
    <s v="Cameron"/>
  </r>
  <r>
    <d v="2024-04-11T00:00:00"/>
    <x v="4"/>
    <x v="3"/>
    <n v="19"/>
    <n v="344.92"/>
    <s v="Store C"/>
    <x v="0"/>
    <n v="0"/>
    <x v="0"/>
    <n v="6553.48"/>
    <x v="4"/>
    <s v="WINTER15"/>
    <n v="0"/>
    <s v="REG100969"/>
    <s v="Cust 8519"/>
    <n v="6.91"/>
    <x v="610"/>
    <d v="2024-04-20T00:00:00"/>
    <s v="Wendy"/>
  </r>
  <r>
    <d v="2024-05-03T00:00:00"/>
    <x v="3"/>
    <x v="3"/>
    <n v="7"/>
    <n v="511.46"/>
    <s v="Store C"/>
    <x v="1"/>
    <n v="0.1"/>
    <x v="0"/>
    <n v="3222.1979999999999"/>
    <x v="4"/>
    <s v="FREESHIP"/>
    <n v="0"/>
    <s v="REG100970"/>
    <s v="Cust 3422"/>
    <n v="19.2"/>
    <x v="80"/>
    <d v="2024-05-12T00:00:00"/>
    <s v="Cameron"/>
  </r>
  <r>
    <d v="2024-10-14T00:00:00"/>
    <x v="0"/>
    <x v="4"/>
    <n v="7"/>
    <n v="150.6"/>
    <s v="Store A"/>
    <x v="0"/>
    <n v="0.15"/>
    <x v="5"/>
    <n v="896.07"/>
    <x v="4"/>
    <s v="WINTER15"/>
    <n v="1"/>
    <s v="REG100971"/>
    <s v="Cust 9638"/>
    <n v="15.52"/>
    <x v="571"/>
    <d v="2024-10-21T00:00:00"/>
    <s v="Eric"/>
  </r>
  <r>
    <d v="2024-02-08T00:00:00"/>
    <x v="4"/>
    <x v="1"/>
    <n v="8"/>
    <n v="158.02000000000001"/>
    <s v="Store C"/>
    <x v="0"/>
    <n v="0.15"/>
    <x v="4"/>
    <n v="1074.5360000000001"/>
    <x v="2"/>
    <s v="FREESHIP"/>
    <n v="0"/>
    <s v="REG100972"/>
    <s v="Cust 6438"/>
    <n v="47.43"/>
    <x v="279"/>
    <d v="2024-02-13T00:00:00"/>
    <s v="Wendy"/>
  </r>
  <r>
    <d v="2023-05-10T00:00:00"/>
    <x v="3"/>
    <x v="5"/>
    <n v="2"/>
    <n v="536.17999999999995"/>
    <s v="Store B"/>
    <x v="1"/>
    <n v="0.1"/>
    <x v="2"/>
    <n v="965.12399999999991"/>
    <x v="2"/>
    <s v="FREESHIP"/>
    <n v="0"/>
    <s v="REG100973"/>
    <s v="Cust 1724"/>
    <n v="34.75"/>
    <x v="2"/>
    <d v="2023-05-13T00:00:00"/>
    <s v="Cameron"/>
  </r>
  <r>
    <d v="2023-03-03T00:00:00"/>
    <x v="2"/>
    <x v="3"/>
    <n v="16"/>
    <n v="571.26"/>
    <s v="Store C"/>
    <x v="0"/>
    <n v="0.15"/>
    <x v="5"/>
    <n v="7769.1360000000004"/>
    <x v="1"/>
    <s v="SAVE10"/>
    <n v="0"/>
    <s v="REG100974"/>
    <s v="Cust 7808"/>
    <n v="6.13"/>
    <x v="21"/>
    <d v="2023-03-12T00:00:00"/>
    <s v="Ryan"/>
  </r>
  <r>
    <d v="2025-05-21T00:00:00"/>
    <x v="3"/>
    <x v="5"/>
    <n v="12"/>
    <n v="134.41999999999999"/>
    <s v="Store D"/>
    <x v="1"/>
    <n v="0.1"/>
    <x v="4"/>
    <n v="1451.7360000000001"/>
    <x v="1"/>
    <s v="FREESHIP"/>
    <n v="0"/>
    <s v="REG100975"/>
    <s v="Cust 3045"/>
    <n v="33.979999999999997"/>
    <x v="83"/>
    <d v="2025-05-27T00:00:00"/>
    <s v="Cameron"/>
  </r>
  <r>
    <d v="2025-04-30T00:00:00"/>
    <x v="3"/>
    <x v="0"/>
    <n v="5"/>
    <n v="563.70000000000005"/>
    <s v="Store A"/>
    <x v="1"/>
    <n v="0"/>
    <x v="5"/>
    <n v="2818.5"/>
    <x v="0"/>
    <s v="SAVE10"/>
    <n v="0"/>
    <s v="REG100976"/>
    <s v="Cust 7348"/>
    <n v="29.28"/>
    <x v="611"/>
    <d v="2025-05-07T00:00:00"/>
    <s v="Cameron"/>
  </r>
  <r>
    <d v="2023-04-02T00:00:00"/>
    <x v="2"/>
    <x v="1"/>
    <n v="11"/>
    <n v="546.57000000000005"/>
    <s v="Store D"/>
    <x v="1"/>
    <n v="0.15"/>
    <x v="5"/>
    <n v="5110.4295000000002"/>
    <x v="2"/>
    <s v="SAVE10"/>
    <n v="1"/>
    <s v="REG100977"/>
    <s v="Cust 5666"/>
    <n v="24.77"/>
    <x v="612"/>
    <d v="2023-04-04T00:00:00"/>
    <s v="Ryan"/>
  </r>
  <r>
    <d v="2024-08-26T00:00:00"/>
    <x v="2"/>
    <x v="4"/>
    <n v="9"/>
    <n v="364.88"/>
    <s v="Store C"/>
    <x v="0"/>
    <n v="0.05"/>
    <x v="5"/>
    <n v="3119.7240000000002"/>
    <x v="4"/>
    <s v="SAVE10"/>
    <n v="0"/>
    <s v="REG100978"/>
    <s v="Cust 4002"/>
    <n v="40.26"/>
    <x v="98"/>
    <d v="2024-09-05T00:00:00"/>
    <s v="Ryan"/>
  </r>
  <r>
    <d v="2023-11-10T00:00:00"/>
    <x v="1"/>
    <x v="4"/>
    <n v="7"/>
    <n v="368.27"/>
    <s v="Store C"/>
    <x v="0"/>
    <n v="0.15"/>
    <x v="3"/>
    <n v="2191.2064999999998"/>
    <x v="0"/>
    <s v="WINTER15"/>
    <n v="0"/>
    <s v="REG100979"/>
    <s v="Cust 6675"/>
    <n v="28.98"/>
    <x v="613"/>
    <d v="2023-11-20T00:00:00"/>
    <s v="Sophie"/>
  </r>
  <r>
    <d v="2025-01-27T00:00:00"/>
    <x v="3"/>
    <x v="6"/>
    <n v="20"/>
    <n v="537.28"/>
    <s v="Store C"/>
    <x v="0"/>
    <n v="0"/>
    <x v="2"/>
    <n v="10745.6"/>
    <x v="0"/>
    <m/>
    <n v="1"/>
    <s v="REG100980"/>
    <s v="Cust 5462"/>
    <n v="15.6"/>
    <x v="614"/>
    <d v="2025-02-02T00:00:00"/>
    <s v="Cameron"/>
  </r>
  <r>
    <d v="2024-04-26T00:00:00"/>
    <x v="1"/>
    <x v="1"/>
    <n v="3"/>
    <n v="103.09"/>
    <s v="Store D"/>
    <x v="0"/>
    <n v="0"/>
    <x v="3"/>
    <n v="309.27"/>
    <x v="1"/>
    <s v="SAVE10"/>
    <n v="1"/>
    <s v="REG100981"/>
    <s v="Cust 3471"/>
    <n v="46.47"/>
    <x v="478"/>
    <d v="2024-04-30T00:00:00"/>
    <s v="Sophie"/>
  </r>
  <r>
    <d v="2023-11-27T00:00:00"/>
    <x v="0"/>
    <x v="5"/>
    <n v="9"/>
    <n v="97.56"/>
    <s v="Store A"/>
    <x v="0"/>
    <n v="0"/>
    <x v="1"/>
    <n v="878.04"/>
    <x v="0"/>
    <m/>
    <n v="0"/>
    <s v="REG100982"/>
    <s v="Cust 1603"/>
    <n v="48.84"/>
    <x v="165"/>
    <d v="2023-12-01T00:00:00"/>
    <s v="Eric"/>
  </r>
  <r>
    <d v="2023-03-30T00:00:00"/>
    <x v="3"/>
    <x v="5"/>
    <n v="10"/>
    <n v="338.75"/>
    <s v="Store A"/>
    <x v="0"/>
    <n v="0.15"/>
    <x v="3"/>
    <n v="2879.375"/>
    <x v="4"/>
    <s v="WINTER15"/>
    <n v="1"/>
    <s v="REG100983"/>
    <s v="Cust 7758"/>
    <n v="36.56"/>
    <x v="306"/>
    <d v="2023-04-06T00:00:00"/>
    <s v="Cameron"/>
  </r>
  <r>
    <d v="2024-03-04T00:00:00"/>
    <x v="2"/>
    <x v="2"/>
    <n v="2"/>
    <n v="239.04"/>
    <s v="Store A"/>
    <x v="0"/>
    <n v="0"/>
    <x v="5"/>
    <n v="478.08"/>
    <x v="3"/>
    <s v="SAVE10"/>
    <n v="1"/>
    <s v="REG100984"/>
    <s v="Cust 3396"/>
    <n v="43.84"/>
    <x v="615"/>
    <d v="2024-03-11T00:00:00"/>
    <s v="Ryan"/>
  </r>
  <r>
    <d v="2023-07-11T00:00:00"/>
    <x v="1"/>
    <x v="0"/>
    <n v="14"/>
    <n v="362.44"/>
    <s v="Store C"/>
    <x v="0"/>
    <n v="0.1"/>
    <x v="5"/>
    <n v="4566.7439999999997"/>
    <x v="4"/>
    <s v="WINTER15"/>
    <n v="0"/>
    <s v="REG100985"/>
    <s v="Cust 4797"/>
    <n v="36.729999999999997"/>
    <x v="445"/>
    <d v="2023-07-15T00:00:00"/>
    <s v="Sophie"/>
  </r>
  <r>
    <d v="2024-09-20T00:00:00"/>
    <x v="4"/>
    <x v="4"/>
    <n v="6"/>
    <n v="551.13"/>
    <s v="Store D"/>
    <x v="1"/>
    <n v="0"/>
    <x v="3"/>
    <n v="3306.78"/>
    <x v="1"/>
    <s v="FREESHIP"/>
    <n v="0"/>
    <s v="REG100986"/>
    <s v="Cust 1113"/>
    <n v="14.67"/>
    <x v="246"/>
    <d v="2024-09-29T00:00:00"/>
    <s v="Wendy"/>
  </r>
  <r>
    <d v="2025-02-18T00:00:00"/>
    <x v="4"/>
    <x v="0"/>
    <n v="1"/>
    <n v="82.06"/>
    <s v="Store D"/>
    <x v="1"/>
    <n v="0.1"/>
    <x v="0"/>
    <n v="73.853999999999999"/>
    <x v="2"/>
    <s v="FREESHIP"/>
    <n v="0"/>
    <s v="REG100987"/>
    <s v="Cust 8843"/>
    <n v="11.11"/>
    <x v="616"/>
    <d v="2025-02-24T00:00:00"/>
    <s v="Wendy"/>
  </r>
  <r>
    <d v="2024-07-16T00:00:00"/>
    <x v="0"/>
    <x v="5"/>
    <n v="7"/>
    <n v="498.46"/>
    <s v="Store C"/>
    <x v="0"/>
    <n v="0.15"/>
    <x v="3"/>
    <n v="2965.837"/>
    <x v="1"/>
    <m/>
    <n v="0"/>
    <s v="REG100988"/>
    <s v="Cust 7505"/>
    <n v="42.72"/>
    <x v="617"/>
    <d v="2024-07-20T00:00:00"/>
    <s v="Eric"/>
  </r>
  <r>
    <d v="2023-11-23T00:00:00"/>
    <x v="0"/>
    <x v="3"/>
    <n v="2"/>
    <n v="253.41"/>
    <s v="Store D"/>
    <x v="1"/>
    <n v="0.1"/>
    <x v="2"/>
    <n v="456.13799999999998"/>
    <x v="4"/>
    <s v="FREESHIP"/>
    <n v="0"/>
    <s v="REG100989"/>
    <s v="Cust 9490"/>
    <n v="49.64"/>
    <x v="488"/>
    <d v="2023-11-25T00:00:00"/>
    <s v="Eric"/>
  </r>
  <r>
    <d v="2023-09-07T00:00:00"/>
    <x v="1"/>
    <x v="1"/>
    <n v="16"/>
    <n v="144.07"/>
    <s v="Store D"/>
    <x v="0"/>
    <n v="0.1"/>
    <x v="0"/>
    <n v="2074.6080000000002"/>
    <x v="3"/>
    <s v="FREESHIP"/>
    <n v="0"/>
    <s v="REG100990"/>
    <s v="Cust 8631"/>
    <n v="7.33"/>
    <x v="288"/>
    <d v="2023-09-09T00:00:00"/>
    <s v="Sophie"/>
  </r>
  <r>
    <d v="2024-02-01T00:00:00"/>
    <x v="4"/>
    <x v="4"/>
    <n v="11"/>
    <n v="201.09"/>
    <s v="Store C"/>
    <x v="1"/>
    <n v="0.15"/>
    <x v="3"/>
    <n v="1880.1914999999999"/>
    <x v="4"/>
    <m/>
    <n v="1"/>
    <s v="REG100991"/>
    <s v="Cust 6986"/>
    <n v="48.42"/>
    <x v="618"/>
    <d v="2024-02-04T00:00:00"/>
    <s v="Wendy"/>
  </r>
  <r>
    <d v="2025-05-08T00:00:00"/>
    <x v="1"/>
    <x v="3"/>
    <n v="11"/>
    <n v="585.45000000000005"/>
    <s v="Store D"/>
    <x v="0"/>
    <n v="0.1"/>
    <x v="1"/>
    <n v="5795.9550000000008"/>
    <x v="2"/>
    <s v="WINTER15"/>
    <n v="0"/>
    <s v="REG100992"/>
    <s v="Cust 9636"/>
    <n v="36.590000000000003"/>
    <x v="33"/>
    <d v="2025-05-12T00:00:00"/>
    <s v="Sophie"/>
  </r>
  <r>
    <d v="2025-01-17T00:00:00"/>
    <x v="2"/>
    <x v="0"/>
    <n v="3"/>
    <n v="448.77"/>
    <s v="Store A"/>
    <x v="1"/>
    <n v="0"/>
    <x v="1"/>
    <n v="1346.31"/>
    <x v="0"/>
    <s v="FREESHIP"/>
    <n v="0"/>
    <s v="REG100993"/>
    <s v="Cust 7367"/>
    <n v="28.5"/>
    <x v="50"/>
    <d v="2025-01-24T00:00:00"/>
    <s v="Ryan"/>
  </r>
  <r>
    <d v="2023-09-02T00:00:00"/>
    <x v="0"/>
    <x v="4"/>
    <n v="9"/>
    <n v="184.43"/>
    <s v="Store D"/>
    <x v="0"/>
    <n v="0"/>
    <x v="3"/>
    <n v="1659.87"/>
    <x v="0"/>
    <s v="WINTER15"/>
    <n v="0"/>
    <s v="REG100994"/>
    <s v="Cust 1943"/>
    <n v="30.78"/>
    <x v="447"/>
    <d v="2023-09-08T00:00:00"/>
    <s v="Eric"/>
  </r>
  <r>
    <d v="2023-06-23T00:00:00"/>
    <x v="3"/>
    <x v="0"/>
    <n v="16"/>
    <n v="594.1"/>
    <s v="Store D"/>
    <x v="1"/>
    <n v="0"/>
    <x v="5"/>
    <n v="9505.6"/>
    <x v="1"/>
    <s v="FREESHIP"/>
    <n v="0"/>
    <s v="REG100995"/>
    <s v="Cust 6368"/>
    <n v="18.2"/>
    <x v="366"/>
    <d v="2023-07-01T00:00:00"/>
    <s v="Cameron"/>
  </r>
  <r>
    <d v="2024-01-20T00:00:00"/>
    <x v="0"/>
    <x v="0"/>
    <n v="19"/>
    <n v="482.07"/>
    <s v="Store B"/>
    <x v="0"/>
    <n v="0.1"/>
    <x v="5"/>
    <n v="8243.3970000000008"/>
    <x v="2"/>
    <m/>
    <n v="0"/>
    <s v="REG100996"/>
    <s v="Cust 9724"/>
    <n v="25.96"/>
    <x v="619"/>
    <d v="2024-01-26T00:00:00"/>
    <s v="Eric"/>
  </r>
  <r>
    <d v="2024-06-26T00:00:00"/>
    <x v="0"/>
    <x v="3"/>
    <n v="20"/>
    <n v="75.45"/>
    <s v="Store B"/>
    <x v="0"/>
    <n v="0.05"/>
    <x v="0"/>
    <n v="1433.55"/>
    <x v="2"/>
    <s v="SAVE10"/>
    <n v="0"/>
    <s v="REG100997"/>
    <s v="Cust 1983"/>
    <n v="44.77"/>
    <x v="620"/>
    <d v="2024-07-06T00:00:00"/>
    <s v="Eric"/>
  </r>
  <r>
    <d v="2024-12-12T00:00:00"/>
    <x v="3"/>
    <x v="4"/>
    <n v="2"/>
    <n v="494.22"/>
    <s v="Store C"/>
    <x v="1"/>
    <n v="0.1"/>
    <x v="3"/>
    <n v="889.59600000000012"/>
    <x v="1"/>
    <s v="FREESHIP"/>
    <n v="0"/>
    <s v="REG100998"/>
    <s v="Cust 8723"/>
    <n v="13.45"/>
    <x v="621"/>
    <d v="2024-12-17T00:00:00"/>
    <s v="Cameron"/>
  </r>
  <r>
    <d v="2024-02-21T00:00:00"/>
    <x v="0"/>
    <x v="0"/>
    <n v="15"/>
    <n v="112.82"/>
    <s v="Store B"/>
    <x v="0"/>
    <n v="0.05"/>
    <x v="2"/>
    <n v="1607.6849999999999"/>
    <x v="2"/>
    <s v="WINTER15"/>
    <n v="0"/>
    <s v="REG100999"/>
    <s v="Cust 1901"/>
    <n v="18.21"/>
    <x v="600"/>
    <d v="2024-03-01T00:00:00"/>
    <s v="Eric"/>
  </r>
  <r>
    <d v="2023-07-18T00:00:00"/>
    <x v="0"/>
    <x v="2"/>
    <n v="3"/>
    <n v="121.56"/>
    <s v="Store D"/>
    <x v="0"/>
    <n v="0"/>
    <x v="0"/>
    <n v="364.68"/>
    <x v="3"/>
    <s v="WINTER15"/>
    <n v="0"/>
    <s v="REG101000"/>
    <s v="Cust 9682"/>
    <n v="29.06"/>
    <x v="338"/>
    <d v="2023-07-25T00:00:00"/>
    <s v="Eric"/>
  </r>
  <r>
    <d v="2024-10-02T00:00:00"/>
    <x v="2"/>
    <x v="2"/>
    <n v="12"/>
    <n v="465.94"/>
    <s v="Store D"/>
    <x v="0"/>
    <n v="0"/>
    <x v="1"/>
    <n v="5591.28"/>
    <x v="2"/>
    <s v="WINTER15"/>
    <n v="0"/>
    <s v="REG101001"/>
    <s v="Cust 5413"/>
    <n v="34.159999999999997"/>
    <x v="352"/>
    <d v="2024-10-06T00:00:00"/>
    <s v="Ryan"/>
  </r>
  <r>
    <d v="2024-12-01T00:00:00"/>
    <x v="4"/>
    <x v="1"/>
    <n v="12"/>
    <n v="187.8"/>
    <s v="Store D"/>
    <x v="0"/>
    <n v="0.15"/>
    <x v="4"/>
    <n v="1915.56"/>
    <x v="0"/>
    <s v="FREESHIP"/>
    <n v="0"/>
    <s v="REG101002"/>
    <s v="Cust 9590"/>
    <n v="17.739999999999998"/>
    <x v="622"/>
    <d v="2024-12-04T00:00:00"/>
    <s v="Wendy"/>
  </r>
  <r>
    <d v="2024-09-03T00:00:00"/>
    <x v="0"/>
    <x v="2"/>
    <n v="1"/>
    <n v="561.29999999999995"/>
    <s v="Store D"/>
    <x v="1"/>
    <n v="0.15"/>
    <x v="2"/>
    <n v="477.10500000000002"/>
    <x v="1"/>
    <m/>
    <n v="0"/>
    <s v="REG101003"/>
    <s v="Cust 9379"/>
    <n v="5.19"/>
    <x v="623"/>
    <d v="2024-09-12T00:00:00"/>
    <s v="Eric"/>
  </r>
  <r>
    <d v="2025-02-22T00:00:00"/>
    <x v="4"/>
    <x v="6"/>
    <n v="7"/>
    <n v="178.26"/>
    <s v="Store C"/>
    <x v="1"/>
    <n v="0.15"/>
    <x v="5"/>
    <n v="1060.6469999999999"/>
    <x v="0"/>
    <s v="FREESHIP"/>
    <n v="0"/>
    <s v="REG101004"/>
    <s v="Cust 4722"/>
    <n v="44.91"/>
    <x v="624"/>
    <d v="2025-03-01T00:00:00"/>
    <s v="Wendy"/>
  </r>
  <r>
    <d v="2025-05-11T00:00:00"/>
    <x v="4"/>
    <x v="4"/>
    <n v="20"/>
    <n v="552.83000000000004"/>
    <s v="Store D"/>
    <x v="1"/>
    <n v="0.15"/>
    <x v="0"/>
    <n v="9398.11"/>
    <x v="0"/>
    <s v="FREESHIP"/>
    <n v="1"/>
    <s v="REG101005"/>
    <s v="Cust 7152"/>
    <n v="20.5"/>
    <x v="15"/>
    <d v="2025-05-13T00:00:00"/>
    <s v="Wendy"/>
  </r>
  <r>
    <d v="2024-12-20T00:00:00"/>
    <x v="3"/>
    <x v="5"/>
    <n v="2"/>
    <n v="458.25"/>
    <s v="Store B"/>
    <x v="0"/>
    <n v="0"/>
    <x v="0"/>
    <n v="916.5"/>
    <x v="1"/>
    <s v="SAVE10"/>
    <n v="0"/>
    <s v="REG101006"/>
    <s v="Cust 7255"/>
    <n v="25.94"/>
    <x v="529"/>
    <d v="2024-12-29T00:00:00"/>
    <s v="Cameron"/>
  </r>
  <r>
    <d v="2023-04-18T00:00:00"/>
    <x v="0"/>
    <x v="0"/>
    <n v="2"/>
    <n v="129.43"/>
    <s v="Store D"/>
    <x v="1"/>
    <n v="0.05"/>
    <x v="1"/>
    <n v="245.917"/>
    <x v="3"/>
    <s v="FREESHIP"/>
    <n v="0"/>
    <s v="REG101007"/>
    <s v="Cust 9593"/>
    <n v="6.91"/>
    <x v="625"/>
    <d v="2023-04-21T00:00:00"/>
    <s v="Eric"/>
  </r>
  <r>
    <d v="2024-08-29T00:00:00"/>
    <x v="0"/>
    <x v="6"/>
    <n v="19"/>
    <n v="448.21"/>
    <s v="Store C"/>
    <x v="0"/>
    <n v="0.1"/>
    <x v="1"/>
    <n v="7664.3909999999996"/>
    <x v="3"/>
    <s v="WINTER15"/>
    <n v="0"/>
    <s v="REG101008"/>
    <s v="Cust 3829"/>
    <n v="30.71"/>
    <x v="496"/>
    <d v="2024-09-03T00:00:00"/>
    <s v="Eric"/>
  </r>
  <r>
    <d v="2023-09-03T00:00:00"/>
    <x v="2"/>
    <x v="2"/>
    <n v="16"/>
    <n v="440.48"/>
    <s v="Store B"/>
    <x v="1"/>
    <n v="0.05"/>
    <x v="2"/>
    <n v="6695.2960000000003"/>
    <x v="4"/>
    <s v="FREESHIP"/>
    <n v="1"/>
    <s v="REG101009"/>
    <s v="Cust 2561"/>
    <n v="26.87"/>
    <x v="34"/>
    <d v="2023-09-10T00:00:00"/>
    <s v="Ryan"/>
  </r>
  <r>
    <d v="2025-05-19T00:00:00"/>
    <x v="0"/>
    <x v="0"/>
    <n v="8"/>
    <n v="262.62"/>
    <s v="Store C"/>
    <x v="0"/>
    <n v="0"/>
    <x v="1"/>
    <n v="2100.96"/>
    <x v="4"/>
    <s v="FREESHIP"/>
    <n v="1"/>
    <s v="REG101010"/>
    <s v="Cust 8387"/>
    <n v="36.729999999999997"/>
    <x v="460"/>
    <d v="2025-05-24T00:00:00"/>
    <s v="Eric"/>
  </r>
  <r>
    <d v="2023-06-18T00:00:00"/>
    <x v="0"/>
    <x v="5"/>
    <n v="15"/>
    <n v="124.91"/>
    <s v="Store A"/>
    <x v="0"/>
    <n v="0.1"/>
    <x v="0"/>
    <n v="1686.2850000000001"/>
    <x v="1"/>
    <s v="FREESHIP"/>
    <n v="0"/>
    <s v="REG101011"/>
    <s v="Cust 2860"/>
    <n v="31.95"/>
    <x v="391"/>
    <d v="2023-06-26T00:00:00"/>
    <s v="Eric"/>
  </r>
  <r>
    <d v="2025-06-18T00:00:00"/>
    <x v="4"/>
    <x v="4"/>
    <n v="9"/>
    <n v="391"/>
    <s v="Store D"/>
    <x v="0"/>
    <n v="0.1"/>
    <x v="0"/>
    <n v="3167.1"/>
    <x v="3"/>
    <s v="WINTER15"/>
    <n v="0"/>
    <s v="REG101012"/>
    <s v="Cust 7794"/>
    <n v="46.76"/>
    <x v="324"/>
    <d v="2025-06-22T00:00:00"/>
    <s v="Wendy"/>
  </r>
  <r>
    <d v="2024-09-29T00:00:00"/>
    <x v="1"/>
    <x v="0"/>
    <n v="12"/>
    <n v="204.15"/>
    <s v="Store C"/>
    <x v="1"/>
    <n v="0.05"/>
    <x v="1"/>
    <n v="2327.31"/>
    <x v="3"/>
    <s v="FREESHIP"/>
    <n v="1"/>
    <s v="REG101013"/>
    <s v="Cust 6075"/>
    <n v="26.4"/>
    <x v="385"/>
    <d v="2024-10-07T00:00:00"/>
    <s v="Sophie"/>
  </r>
  <r>
    <d v="2024-02-25T00:00:00"/>
    <x v="0"/>
    <x v="0"/>
    <n v="20"/>
    <n v="13.64"/>
    <s v="Store C"/>
    <x v="1"/>
    <n v="0.15"/>
    <x v="2"/>
    <n v="231.88"/>
    <x v="2"/>
    <s v="SAVE10"/>
    <n v="0"/>
    <s v="REG101014"/>
    <s v="Cust 4337"/>
    <n v="33.6"/>
    <x v="626"/>
    <d v="2024-03-04T00:00:00"/>
    <s v="Eric"/>
  </r>
  <r>
    <d v="2024-03-21T00:00:00"/>
    <x v="2"/>
    <x v="6"/>
    <n v="14"/>
    <n v="524.9"/>
    <s v="Store C"/>
    <x v="0"/>
    <n v="0.05"/>
    <x v="1"/>
    <n v="6981.1699999999992"/>
    <x v="4"/>
    <s v="FREESHIP"/>
    <n v="1"/>
    <s v="REG101015"/>
    <s v="Cust 2540"/>
    <n v="20.23"/>
    <x v="58"/>
    <d v="2024-03-30T00:00:00"/>
    <s v="Ryan"/>
  </r>
  <r>
    <d v="2024-02-03T00:00:00"/>
    <x v="2"/>
    <x v="0"/>
    <n v="8"/>
    <n v="143.94999999999999"/>
    <s v="Store B"/>
    <x v="1"/>
    <n v="0.1"/>
    <x v="4"/>
    <n v="1036.44"/>
    <x v="4"/>
    <s v="SAVE10"/>
    <n v="0"/>
    <s v="REG101016"/>
    <s v="Cust 3944"/>
    <n v="28.09"/>
    <x v="490"/>
    <d v="2024-02-09T00:00:00"/>
    <s v="Ryan"/>
  </r>
  <r>
    <d v="2023-11-21T00:00:00"/>
    <x v="1"/>
    <x v="0"/>
    <n v="2"/>
    <n v="576.84"/>
    <s v="Store D"/>
    <x v="1"/>
    <n v="0.1"/>
    <x v="2"/>
    <n v="1038.3119999999999"/>
    <x v="2"/>
    <s v="FREESHIP"/>
    <n v="0"/>
    <s v="REG101017"/>
    <s v="Cust 8876"/>
    <n v="43.32"/>
    <x v="283"/>
    <d v="2023-11-24T00:00:00"/>
    <s v="Sophie"/>
  </r>
  <r>
    <d v="2023-01-10T00:00:00"/>
    <x v="4"/>
    <x v="3"/>
    <n v="14"/>
    <n v="250.98"/>
    <s v="Store C"/>
    <x v="1"/>
    <n v="0"/>
    <x v="0"/>
    <n v="3513.72"/>
    <x v="3"/>
    <m/>
    <n v="0"/>
    <s v="REG101018"/>
    <s v="Cust 3286"/>
    <n v="14.94"/>
    <x v="579"/>
    <d v="2023-01-18T00:00:00"/>
    <s v="Wendy"/>
  </r>
  <r>
    <d v="2023-02-06T00:00:00"/>
    <x v="3"/>
    <x v="1"/>
    <n v="7"/>
    <n v="335.41"/>
    <s v="Store C"/>
    <x v="1"/>
    <n v="0"/>
    <x v="5"/>
    <n v="2347.87"/>
    <x v="0"/>
    <s v="SAVE10"/>
    <n v="0"/>
    <s v="REG101019"/>
    <s v="Cust 4990"/>
    <n v="18.91"/>
    <x v="235"/>
    <d v="2023-02-10T00:00:00"/>
    <s v="Cameron"/>
  </r>
  <r>
    <d v="2025-04-10T00:00:00"/>
    <x v="2"/>
    <x v="6"/>
    <n v="11"/>
    <n v="204.5"/>
    <s v="Store A"/>
    <x v="1"/>
    <n v="0"/>
    <x v="0"/>
    <n v="2249.5"/>
    <x v="3"/>
    <s v="WINTER15"/>
    <n v="0"/>
    <s v="REG101020"/>
    <s v="Cust 8706"/>
    <n v="13.82"/>
    <x v="627"/>
    <d v="2025-04-20T00:00:00"/>
    <s v="Ryan"/>
  </r>
  <r>
    <d v="2024-02-14T00:00:00"/>
    <x v="0"/>
    <x v="5"/>
    <n v="1"/>
    <n v="542.63"/>
    <s v="Store A"/>
    <x v="1"/>
    <n v="0.05"/>
    <x v="3"/>
    <n v="515.49849999999992"/>
    <x v="2"/>
    <m/>
    <n v="0"/>
    <s v="REG101021"/>
    <s v="Cust 2608"/>
    <n v="33.200000000000003"/>
    <x v="628"/>
    <d v="2024-02-21T00:00:00"/>
    <s v="Eric"/>
  </r>
  <r>
    <d v="2025-05-26T00:00:00"/>
    <x v="0"/>
    <x v="1"/>
    <n v="1"/>
    <n v="204.54"/>
    <s v="Store D"/>
    <x v="1"/>
    <n v="0.1"/>
    <x v="3"/>
    <n v="184.08600000000001"/>
    <x v="0"/>
    <m/>
    <n v="1"/>
    <s v="REG101022"/>
    <s v="Cust 3290"/>
    <n v="17.760000000000002"/>
    <x v="499"/>
    <d v="2025-05-29T00:00:00"/>
    <s v="Eric"/>
  </r>
  <r>
    <d v="2023-09-12T00:00:00"/>
    <x v="4"/>
    <x v="3"/>
    <n v="10"/>
    <n v="419.58"/>
    <s v="Store A"/>
    <x v="0"/>
    <n v="0.15"/>
    <x v="0"/>
    <n v="3566.43"/>
    <x v="3"/>
    <s v="FREESHIP"/>
    <n v="0"/>
    <s v="REG101023"/>
    <s v="Cust 3892"/>
    <n v="13.09"/>
    <x v="629"/>
    <d v="2023-09-19T00:00:00"/>
    <s v="Wendy"/>
  </r>
  <r>
    <d v="2023-05-17T00:00:00"/>
    <x v="0"/>
    <x v="2"/>
    <n v="7"/>
    <n v="87.88"/>
    <s v="Store C"/>
    <x v="0"/>
    <n v="0.15"/>
    <x v="1"/>
    <n v="522.88599999999997"/>
    <x v="0"/>
    <s v="WINTER15"/>
    <n v="1"/>
    <s v="REG101024"/>
    <s v="Cust 6979"/>
    <n v="22.2"/>
    <x v="497"/>
    <d v="2023-05-26T00:00:00"/>
    <s v="Eric"/>
  </r>
  <r>
    <d v="2024-01-29T00:00:00"/>
    <x v="4"/>
    <x v="6"/>
    <n v="7"/>
    <n v="386.88"/>
    <s v="Store B"/>
    <x v="0"/>
    <n v="0.05"/>
    <x v="3"/>
    <n v="2572.752"/>
    <x v="4"/>
    <s v="SAVE10"/>
    <n v="0"/>
    <s v="REG101025"/>
    <s v="Cust 9375"/>
    <n v="38.46"/>
    <x v="282"/>
    <d v="2024-01-31T00:00:00"/>
    <s v="Wendy"/>
  </r>
  <r>
    <d v="2025-05-09T00:00:00"/>
    <x v="2"/>
    <x v="2"/>
    <n v="4"/>
    <n v="242.8"/>
    <s v="Store D"/>
    <x v="0"/>
    <n v="0.05"/>
    <x v="4"/>
    <n v="922.64"/>
    <x v="3"/>
    <s v="FREESHIP"/>
    <n v="0"/>
    <s v="REG101026"/>
    <s v="Cust 9311"/>
    <n v="30.03"/>
    <x v="589"/>
    <d v="2025-05-18T00:00:00"/>
    <s v="Ryan"/>
  </r>
  <r>
    <d v="2024-04-05T00:00:00"/>
    <x v="0"/>
    <x v="6"/>
    <n v="4"/>
    <n v="410.59"/>
    <s v="Store A"/>
    <x v="1"/>
    <n v="0"/>
    <x v="0"/>
    <n v="1642.36"/>
    <x v="4"/>
    <m/>
    <n v="0"/>
    <s v="REG101027"/>
    <s v="Cust 4097"/>
    <n v="17.36"/>
    <x v="393"/>
    <d v="2024-04-09T00:00:00"/>
    <s v="Eric"/>
  </r>
  <r>
    <d v="2024-08-01T00:00:00"/>
    <x v="1"/>
    <x v="3"/>
    <n v="3"/>
    <n v="10.93"/>
    <s v="Store D"/>
    <x v="0"/>
    <n v="0.15"/>
    <x v="0"/>
    <n v="27.871500000000001"/>
    <x v="4"/>
    <s v="FREESHIP"/>
    <n v="0"/>
    <s v="REG101028"/>
    <s v="Cust 6145"/>
    <n v="19.010000000000002"/>
    <x v="537"/>
    <d v="2024-08-10T00:00:00"/>
    <s v="Sophie"/>
  </r>
  <r>
    <d v="2024-07-10T00:00:00"/>
    <x v="1"/>
    <x v="3"/>
    <n v="20"/>
    <n v="150.16"/>
    <s v="Store C"/>
    <x v="0"/>
    <n v="0"/>
    <x v="5"/>
    <n v="3003.2"/>
    <x v="4"/>
    <m/>
    <n v="0"/>
    <s v="REG101029"/>
    <s v="Cust 8124"/>
    <n v="41.66"/>
    <x v="462"/>
    <d v="2024-07-12T00:00:00"/>
    <s v="Sophie"/>
  </r>
  <r>
    <d v="2024-06-15T00:00:00"/>
    <x v="0"/>
    <x v="3"/>
    <n v="1"/>
    <n v="394.41"/>
    <s v="Store B"/>
    <x v="1"/>
    <n v="0.1"/>
    <x v="1"/>
    <n v="354.96900000000011"/>
    <x v="1"/>
    <s v="WINTER15"/>
    <n v="0"/>
    <s v="REG101030"/>
    <s v="Cust 7826"/>
    <n v="6.37"/>
    <x v="351"/>
    <d v="2024-06-20T00:00:00"/>
    <s v="Eric"/>
  </r>
  <r>
    <d v="2024-05-22T00:00:00"/>
    <x v="0"/>
    <x v="4"/>
    <n v="6"/>
    <n v="535.38"/>
    <s v="Store C"/>
    <x v="0"/>
    <n v="0.15"/>
    <x v="1"/>
    <n v="2730.4380000000001"/>
    <x v="0"/>
    <m/>
    <n v="0"/>
    <s v="REG101031"/>
    <s v="Cust 3472"/>
    <n v="48.66"/>
    <x v="521"/>
    <d v="2024-05-29T00:00:00"/>
    <s v="Eric"/>
  </r>
  <r>
    <d v="2024-01-14T00:00:00"/>
    <x v="0"/>
    <x v="4"/>
    <n v="19"/>
    <n v="407.82"/>
    <s v="Store D"/>
    <x v="1"/>
    <n v="0.05"/>
    <x v="4"/>
    <n v="7361.1509999999998"/>
    <x v="1"/>
    <s v="FREESHIP"/>
    <n v="0"/>
    <s v="REG101032"/>
    <s v="Cust 4266"/>
    <n v="38.979999999999997"/>
    <x v="73"/>
    <d v="2024-01-18T00:00:00"/>
    <s v="Eric"/>
  </r>
  <r>
    <d v="2024-10-31T00:00:00"/>
    <x v="2"/>
    <x v="5"/>
    <n v="16"/>
    <n v="120.83"/>
    <s v="Store B"/>
    <x v="1"/>
    <n v="0.05"/>
    <x v="3"/>
    <n v="1836.616"/>
    <x v="4"/>
    <s v="WINTER15"/>
    <n v="1"/>
    <s v="REG101033"/>
    <s v="Cust 8492"/>
    <n v="39.64"/>
    <x v="335"/>
    <d v="2024-11-02T00:00:00"/>
    <s v="Ryan"/>
  </r>
  <r>
    <d v="2024-04-23T00:00:00"/>
    <x v="4"/>
    <x v="6"/>
    <n v="7"/>
    <n v="39.53"/>
    <s v="Store D"/>
    <x v="1"/>
    <n v="0.1"/>
    <x v="3"/>
    <n v="249.03899999999999"/>
    <x v="3"/>
    <s v="WINTER15"/>
    <n v="0"/>
    <s v="REG101034"/>
    <s v="Cust 7354"/>
    <n v="18.16"/>
    <x v="502"/>
    <d v="2024-04-29T00:00:00"/>
    <s v="Wendy"/>
  </r>
  <r>
    <d v="2023-06-14T00:00:00"/>
    <x v="1"/>
    <x v="5"/>
    <n v="2"/>
    <n v="224.08"/>
    <s v="Store A"/>
    <x v="1"/>
    <n v="0.05"/>
    <x v="2"/>
    <n v="425.75200000000001"/>
    <x v="2"/>
    <s v="WINTER15"/>
    <n v="0"/>
    <s v="REG101035"/>
    <s v="Cust 6672"/>
    <n v="47.35"/>
    <x v="116"/>
    <d v="2023-06-20T00:00:00"/>
    <s v="Sophie"/>
  </r>
  <r>
    <d v="2024-02-28T00:00:00"/>
    <x v="2"/>
    <x v="6"/>
    <n v="11"/>
    <n v="382.08"/>
    <s v="Store D"/>
    <x v="0"/>
    <n v="0.05"/>
    <x v="2"/>
    <n v="3992.7359999999999"/>
    <x v="4"/>
    <s v="WINTER15"/>
    <n v="0"/>
    <s v="REG101036"/>
    <s v="Cust 5589"/>
    <n v="5.95"/>
    <x v="630"/>
    <d v="2024-03-02T00:00:00"/>
    <s v="Ryan"/>
  </r>
  <r>
    <d v="2024-06-19T00:00:00"/>
    <x v="1"/>
    <x v="6"/>
    <n v="9"/>
    <n v="88.49"/>
    <s v="Store D"/>
    <x v="0"/>
    <n v="0.05"/>
    <x v="4"/>
    <n v="756.58949999999993"/>
    <x v="0"/>
    <m/>
    <n v="0"/>
    <s v="REG101037"/>
    <s v="Cust 2770"/>
    <n v="35.6"/>
    <x v="389"/>
    <d v="2024-06-26T00:00:00"/>
    <s v="Sophie"/>
  </r>
  <r>
    <d v="2023-03-18T00:00:00"/>
    <x v="3"/>
    <x v="5"/>
    <n v="20"/>
    <n v="139.1"/>
    <s v="Store C"/>
    <x v="0"/>
    <n v="0.05"/>
    <x v="3"/>
    <n v="2642.9"/>
    <x v="0"/>
    <s v="FREESHIP"/>
    <n v="0"/>
    <s v="REG101038"/>
    <s v="Cust 7206"/>
    <n v="30.22"/>
    <x v="132"/>
    <d v="2023-03-20T00:00:00"/>
    <s v="Cameron"/>
  </r>
  <r>
    <d v="2023-03-21T00:00:00"/>
    <x v="4"/>
    <x v="2"/>
    <n v="19"/>
    <n v="322.35000000000002"/>
    <s v="Store D"/>
    <x v="0"/>
    <n v="0.1"/>
    <x v="1"/>
    <n v="5512.1850000000004"/>
    <x v="3"/>
    <s v="WINTER15"/>
    <n v="0"/>
    <s v="REG101039"/>
    <s v="Cust 1580"/>
    <n v="30.06"/>
    <x v="256"/>
    <d v="2023-03-31T00:00:00"/>
    <s v="Wendy"/>
  </r>
  <r>
    <d v="2024-05-28T00:00:00"/>
    <x v="0"/>
    <x v="6"/>
    <n v="16"/>
    <n v="334.55"/>
    <s v="Store B"/>
    <x v="0"/>
    <n v="0.1"/>
    <x v="0"/>
    <n v="4817.5200000000004"/>
    <x v="2"/>
    <s v="SAVE10"/>
    <n v="0"/>
    <s v="REG101040"/>
    <s v="Cust 5313"/>
    <n v="37.42"/>
    <x v="17"/>
    <d v="2024-06-01T00:00:00"/>
    <s v="Eric"/>
  </r>
  <r>
    <d v="2023-03-27T00:00:00"/>
    <x v="4"/>
    <x v="2"/>
    <n v="20"/>
    <n v="332.48"/>
    <s v="Store B"/>
    <x v="0"/>
    <n v="0"/>
    <x v="0"/>
    <n v="6649.6"/>
    <x v="0"/>
    <s v="SAVE10"/>
    <n v="1"/>
    <s v="REG101041"/>
    <s v="Cust 4209"/>
    <n v="7.79"/>
    <x v="340"/>
    <d v="2023-03-30T00:00:00"/>
    <s v="Wendy"/>
  </r>
  <r>
    <d v="2023-06-19T00:00:00"/>
    <x v="3"/>
    <x v="6"/>
    <n v="1"/>
    <n v="123.4"/>
    <s v="Store A"/>
    <x v="1"/>
    <n v="0"/>
    <x v="0"/>
    <n v="123.4"/>
    <x v="4"/>
    <m/>
    <n v="1"/>
    <s v="REG101042"/>
    <s v="Cust 5861"/>
    <n v="12.63"/>
    <x v="182"/>
    <d v="2023-06-25T00:00:00"/>
    <s v="Cameron"/>
  </r>
  <r>
    <d v="2023-10-31T00:00:00"/>
    <x v="1"/>
    <x v="0"/>
    <n v="3"/>
    <n v="88.26"/>
    <s v="Store D"/>
    <x v="0"/>
    <n v="0.05"/>
    <x v="5"/>
    <n v="251.541"/>
    <x v="3"/>
    <s v="FREESHIP"/>
    <n v="0"/>
    <s v="REG101043"/>
    <s v="Cust 6348"/>
    <n v="46.45"/>
    <x v="372"/>
    <d v="2023-11-07T00:00:00"/>
    <s v="Sophie"/>
  </r>
  <r>
    <d v="2023-07-11T00:00:00"/>
    <x v="4"/>
    <x v="1"/>
    <n v="13"/>
    <n v="50.51"/>
    <s v="Store D"/>
    <x v="0"/>
    <n v="0.1"/>
    <x v="1"/>
    <n v="590.96699999999998"/>
    <x v="3"/>
    <s v="WINTER15"/>
    <n v="0"/>
    <s v="REG101044"/>
    <s v="Cust 5210"/>
    <n v="40.57"/>
    <x v="445"/>
    <d v="2023-07-18T00:00:00"/>
    <s v="Wendy"/>
  </r>
  <r>
    <d v="2023-05-19T00:00:00"/>
    <x v="1"/>
    <x v="4"/>
    <n v="11"/>
    <n v="237.99"/>
    <s v="Store D"/>
    <x v="0"/>
    <n v="0.05"/>
    <x v="5"/>
    <n v="2486.9955"/>
    <x v="3"/>
    <s v="FREESHIP"/>
    <n v="0"/>
    <s v="REG101045"/>
    <s v="Cust 7325"/>
    <n v="44.7"/>
    <x v="631"/>
    <d v="2023-05-28T00:00:00"/>
    <s v="Sophie"/>
  </r>
  <r>
    <d v="2023-08-05T00:00:00"/>
    <x v="2"/>
    <x v="3"/>
    <n v="7"/>
    <n v="294.95"/>
    <s v="Store D"/>
    <x v="0"/>
    <n v="0"/>
    <x v="2"/>
    <n v="2064.65"/>
    <x v="0"/>
    <s v="FREESHIP"/>
    <n v="0"/>
    <s v="REG101046"/>
    <s v="Cust 5818"/>
    <n v="15.78"/>
    <x v="285"/>
    <d v="2023-08-10T00:00:00"/>
    <s v="Ryan"/>
  </r>
  <r>
    <d v="2023-03-24T00:00:00"/>
    <x v="4"/>
    <x v="2"/>
    <n v="8"/>
    <n v="384.3"/>
    <s v="Store C"/>
    <x v="0"/>
    <n v="0.1"/>
    <x v="2"/>
    <n v="2766.96"/>
    <x v="1"/>
    <s v="FREESHIP"/>
    <n v="0"/>
    <s v="REG101047"/>
    <s v="Cust 7773"/>
    <n v="48.83"/>
    <x v="601"/>
    <d v="2023-04-03T00:00:00"/>
    <s v="Wendy"/>
  </r>
  <r>
    <d v="2025-02-14T00:00:00"/>
    <x v="4"/>
    <x v="4"/>
    <n v="1"/>
    <n v="378.35"/>
    <s v="Store C"/>
    <x v="0"/>
    <n v="0.05"/>
    <x v="4"/>
    <n v="359.4325"/>
    <x v="4"/>
    <s v="FREESHIP"/>
    <n v="0"/>
    <s v="REG101048"/>
    <s v="Cust 3960"/>
    <n v="20.97"/>
    <x v="202"/>
    <d v="2025-02-17T00:00:00"/>
    <s v="Wendy"/>
  </r>
  <r>
    <d v="2024-12-14T00:00:00"/>
    <x v="2"/>
    <x v="2"/>
    <n v="1"/>
    <n v="461.35"/>
    <s v="Store D"/>
    <x v="1"/>
    <n v="0"/>
    <x v="5"/>
    <n v="461.35"/>
    <x v="3"/>
    <s v="FREESHIP"/>
    <n v="1"/>
    <s v="REG101049"/>
    <s v="Cust 4496"/>
    <n v="43.74"/>
    <x v="632"/>
    <d v="2024-12-16T00:00:00"/>
    <s v="Ryan"/>
  </r>
  <r>
    <d v="2023-06-28T00:00:00"/>
    <x v="1"/>
    <x v="6"/>
    <n v="20"/>
    <n v="354.9"/>
    <s v="Store A"/>
    <x v="0"/>
    <n v="0"/>
    <x v="5"/>
    <n v="7098"/>
    <x v="1"/>
    <s v="WINTER15"/>
    <n v="0"/>
    <s v="REG101050"/>
    <s v="Cust 3875"/>
    <n v="43.24"/>
    <x v="418"/>
    <d v="2023-07-01T00:00:00"/>
    <s v="Sophie"/>
  </r>
  <r>
    <d v="2023-01-24T00:00:00"/>
    <x v="4"/>
    <x v="2"/>
    <n v="7"/>
    <n v="438.41"/>
    <s v="Store C"/>
    <x v="1"/>
    <n v="0.1"/>
    <x v="4"/>
    <n v="2761.9830000000002"/>
    <x v="3"/>
    <s v="SAVE10"/>
    <n v="1"/>
    <s v="REG101051"/>
    <s v="Cust 7232"/>
    <n v="47.77"/>
    <x v="191"/>
    <d v="2023-01-28T00:00:00"/>
    <s v="Wendy"/>
  </r>
  <r>
    <d v="2024-06-21T00:00:00"/>
    <x v="3"/>
    <x v="5"/>
    <n v="14"/>
    <n v="542.6"/>
    <s v="Store C"/>
    <x v="1"/>
    <n v="0.05"/>
    <x v="0"/>
    <n v="7216.58"/>
    <x v="3"/>
    <m/>
    <n v="0"/>
    <s v="REG101052"/>
    <s v="Cust 2137"/>
    <n v="44.76"/>
    <x v="378"/>
    <d v="2024-06-30T00:00:00"/>
    <s v="Cameron"/>
  </r>
  <r>
    <d v="2025-04-09T00:00:00"/>
    <x v="2"/>
    <x v="6"/>
    <n v="3"/>
    <n v="238.82"/>
    <s v="Store C"/>
    <x v="1"/>
    <n v="0.1"/>
    <x v="5"/>
    <n v="644.81400000000008"/>
    <x v="1"/>
    <s v="WINTER15"/>
    <n v="0"/>
    <s v="REG101053"/>
    <s v="Cust 4537"/>
    <n v="37.07"/>
    <x v="320"/>
    <d v="2025-04-18T00:00:00"/>
    <s v="Ryan"/>
  </r>
  <r>
    <d v="2025-01-11T00:00:00"/>
    <x v="2"/>
    <x v="5"/>
    <n v="16"/>
    <n v="332.19"/>
    <s v="Store C"/>
    <x v="1"/>
    <n v="0.1"/>
    <x v="0"/>
    <n v="4783.5360000000001"/>
    <x v="2"/>
    <s v="SAVE10"/>
    <n v="1"/>
    <s v="REG101054"/>
    <s v="Cust 6274"/>
    <n v="34.97"/>
    <x v="405"/>
    <d v="2025-01-19T00:00:00"/>
    <s v="Ryan"/>
  </r>
  <r>
    <d v="2024-07-13T00:00:00"/>
    <x v="3"/>
    <x v="6"/>
    <n v="9"/>
    <n v="454.6"/>
    <s v="Store D"/>
    <x v="0"/>
    <n v="0.05"/>
    <x v="3"/>
    <n v="3886.83"/>
    <x v="3"/>
    <m/>
    <n v="0"/>
    <s v="REG101055"/>
    <s v="Cust 3810"/>
    <n v="32.86"/>
    <x v="421"/>
    <d v="2024-07-20T00:00:00"/>
    <s v="Cameron"/>
  </r>
  <r>
    <d v="2025-01-04T00:00:00"/>
    <x v="4"/>
    <x v="6"/>
    <n v="6"/>
    <n v="540.54"/>
    <s v="Store A"/>
    <x v="1"/>
    <n v="0.05"/>
    <x v="3"/>
    <n v="3081.078"/>
    <x v="3"/>
    <s v="SAVE10"/>
    <n v="0"/>
    <s v="REG101056"/>
    <s v="Cust 5002"/>
    <n v="19.77"/>
    <x v="602"/>
    <d v="2025-01-10T00:00:00"/>
    <s v="Wendy"/>
  </r>
  <r>
    <d v="2023-10-25T00:00:00"/>
    <x v="4"/>
    <x v="2"/>
    <n v="14"/>
    <n v="147.37"/>
    <s v="Store D"/>
    <x v="0"/>
    <n v="0.15"/>
    <x v="2"/>
    <n v="1753.703"/>
    <x v="3"/>
    <s v="WINTER15"/>
    <n v="1"/>
    <s v="REG101057"/>
    <s v="Cust 8551"/>
    <n v="45.75"/>
    <x v="633"/>
    <d v="2023-10-31T00:00:00"/>
    <s v="Wendy"/>
  </r>
  <r>
    <d v="2023-09-30T00:00:00"/>
    <x v="1"/>
    <x v="0"/>
    <n v="7"/>
    <n v="421.12"/>
    <s v="Store D"/>
    <x v="0"/>
    <n v="0.15"/>
    <x v="4"/>
    <n v="2505.6640000000002"/>
    <x v="1"/>
    <m/>
    <n v="0"/>
    <s v="REG101058"/>
    <s v="Cust 8837"/>
    <n v="44.49"/>
    <x v="508"/>
    <d v="2023-10-02T00:00:00"/>
    <s v="Sophie"/>
  </r>
  <r>
    <d v="2023-03-16T00:00:00"/>
    <x v="2"/>
    <x v="1"/>
    <n v="20"/>
    <n v="436.32"/>
    <s v="Store D"/>
    <x v="1"/>
    <n v="0"/>
    <x v="4"/>
    <n v="8726.4"/>
    <x v="2"/>
    <s v="FREESHIP"/>
    <n v="1"/>
    <s v="REG101059"/>
    <s v="Cust 6523"/>
    <n v="37.49"/>
    <x v="399"/>
    <d v="2023-03-26T00:00:00"/>
    <s v="Ryan"/>
  </r>
  <r>
    <d v="2023-07-26T00:00:00"/>
    <x v="2"/>
    <x v="0"/>
    <n v="18"/>
    <n v="436.83"/>
    <s v="Store A"/>
    <x v="0"/>
    <n v="0.1"/>
    <x v="5"/>
    <n v="7076.6459999999997"/>
    <x v="2"/>
    <s v="SAVE10"/>
    <n v="0"/>
    <s v="REG101060"/>
    <s v="Cust 1947"/>
    <n v="28.8"/>
    <x v="238"/>
    <d v="2023-08-02T00:00:00"/>
    <s v="Ryan"/>
  </r>
  <r>
    <d v="2023-07-10T00:00:00"/>
    <x v="0"/>
    <x v="4"/>
    <n v="2"/>
    <n v="327.57"/>
    <s v="Store A"/>
    <x v="1"/>
    <n v="0.05"/>
    <x v="4"/>
    <n v="622.38299999999992"/>
    <x v="3"/>
    <m/>
    <n v="0"/>
    <s v="REG101061"/>
    <s v="Cust 3440"/>
    <n v="19.489999999999998"/>
    <x v="634"/>
    <d v="2023-07-19T00:00:00"/>
    <s v="Eric"/>
  </r>
  <r>
    <d v="2024-08-06T00:00:00"/>
    <x v="0"/>
    <x v="6"/>
    <n v="18"/>
    <n v="166.92"/>
    <s v="Store C"/>
    <x v="0"/>
    <n v="0.05"/>
    <x v="1"/>
    <n v="2854.3319999999999"/>
    <x v="1"/>
    <s v="WINTER15"/>
    <n v="0"/>
    <s v="REG101062"/>
    <s v="Cust 4102"/>
    <n v="9.35"/>
    <x v="635"/>
    <d v="2024-08-16T00:00:00"/>
    <s v="Eric"/>
  </r>
  <r>
    <d v="2024-07-16T00:00:00"/>
    <x v="3"/>
    <x v="1"/>
    <n v="14"/>
    <n v="300.38"/>
    <s v="Store A"/>
    <x v="1"/>
    <n v="0.1"/>
    <x v="1"/>
    <n v="3784.788"/>
    <x v="0"/>
    <m/>
    <n v="0"/>
    <s v="REG101063"/>
    <s v="Cust 4145"/>
    <n v="38.6"/>
    <x v="617"/>
    <d v="2024-07-19T00:00:00"/>
    <s v="Cameron"/>
  </r>
  <r>
    <d v="2024-01-31T00:00:00"/>
    <x v="2"/>
    <x v="6"/>
    <n v="5"/>
    <n v="232.29"/>
    <s v="Store A"/>
    <x v="0"/>
    <n v="0"/>
    <x v="1"/>
    <n v="1161.45"/>
    <x v="0"/>
    <m/>
    <n v="1"/>
    <s v="REG101064"/>
    <s v="Cust 5206"/>
    <n v="42.38"/>
    <x v="636"/>
    <d v="2024-02-09T00:00:00"/>
    <s v="Ryan"/>
  </r>
  <r>
    <d v="2023-04-22T00:00:00"/>
    <x v="3"/>
    <x v="5"/>
    <n v="1"/>
    <n v="173.44"/>
    <s v="Store A"/>
    <x v="1"/>
    <n v="0"/>
    <x v="5"/>
    <n v="173.44"/>
    <x v="1"/>
    <s v="FREESHIP"/>
    <n v="0"/>
    <s v="REG101065"/>
    <s v="Cust 4022"/>
    <n v="32.83"/>
    <x v="573"/>
    <d v="2023-04-24T00:00:00"/>
    <s v="Cameron"/>
  </r>
  <r>
    <d v="2025-02-04T00:00:00"/>
    <x v="0"/>
    <x v="1"/>
    <n v="9"/>
    <n v="256.14"/>
    <s v="Store A"/>
    <x v="1"/>
    <n v="0.15"/>
    <x v="2"/>
    <n v="1959.471"/>
    <x v="2"/>
    <s v="SAVE10"/>
    <n v="1"/>
    <s v="REG101066"/>
    <s v="Cust 8676"/>
    <n v="5.21"/>
    <x v="599"/>
    <d v="2025-02-07T00:00:00"/>
    <s v="Eric"/>
  </r>
  <r>
    <d v="2024-08-25T00:00:00"/>
    <x v="3"/>
    <x v="0"/>
    <n v="12"/>
    <n v="461.3"/>
    <s v="Store D"/>
    <x v="0"/>
    <n v="0.15"/>
    <x v="4"/>
    <n v="4705.26"/>
    <x v="1"/>
    <s v="FREESHIP"/>
    <n v="0"/>
    <s v="REG101067"/>
    <s v="Cust 7492"/>
    <n v="8.6"/>
    <x v="225"/>
    <d v="2024-09-03T00:00:00"/>
    <s v="Cameron"/>
  </r>
  <r>
    <d v="2023-08-30T00:00:00"/>
    <x v="0"/>
    <x v="1"/>
    <n v="1"/>
    <n v="193.08"/>
    <s v="Store A"/>
    <x v="0"/>
    <n v="0.05"/>
    <x v="2"/>
    <n v="183.42599999999999"/>
    <x v="0"/>
    <s v="SAVE10"/>
    <n v="0"/>
    <s v="REG101068"/>
    <s v="Cust 3150"/>
    <n v="23.99"/>
    <x v="286"/>
    <d v="2023-09-05T00:00:00"/>
    <s v="Eric"/>
  </r>
  <r>
    <d v="2023-09-06T00:00:00"/>
    <x v="4"/>
    <x v="3"/>
    <n v="3"/>
    <n v="312.97000000000003"/>
    <s v="Store C"/>
    <x v="1"/>
    <n v="0.05"/>
    <x v="0"/>
    <n v="891.96450000000004"/>
    <x v="2"/>
    <m/>
    <n v="1"/>
    <s v="REG101069"/>
    <s v="Cust 7872"/>
    <n v="20.059999999999999"/>
    <x v="476"/>
    <d v="2023-09-12T00:00:00"/>
    <s v="Wendy"/>
  </r>
  <r>
    <d v="2025-05-13T00:00:00"/>
    <x v="1"/>
    <x v="0"/>
    <n v="6"/>
    <n v="214.14"/>
    <s v="Store D"/>
    <x v="0"/>
    <n v="0.05"/>
    <x v="4"/>
    <n v="1220.598"/>
    <x v="4"/>
    <s v="FREESHIP"/>
    <n v="0"/>
    <s v="REG101070"/>
    <s v="Cust 8762"/>
    <n v="44.86"/>
    <x v="92"/>
    <d v="2025-05-21T00:00:00"/>
    <s v="Sophie"/>
  </r>
  <r>
    <d v="2023-10-29T00:00:00"/>
    <x v="2"/>
    <x v="1"/>
    <n v="4"/>
    <n v="59.8"/>
    <s v="Store D"/>
    <x v="1"/>
    <n v="0.1"/>
    <x v="2"/>
    <n v="215.28"/>
    <x v="0"/>
    <s v="FREESHIP"/>
    <n v="0"/>
    <s v="REG101071"/>
    <s v="Cust 4004"/>
    <n v="42.59"/>
    <x v="637"/>
    <d v="2023-11-06T00:00:00"/>
    <s v="Ryan"/>
  </r>
  <r>
    <d v="2024-06-12T00:00:00"/>
    <x v="0"/>
    <x v="0"/>
    <n v="9"/>
    <n v="418"/>
    <s v="Store C"/>
    <x v="0"/>
    <n v="0"/>
    <x v="5"/>
    <n v="3762"/>
    <x v="2"/>
    <s v="WINTER15"/>
    <n v="0"/>
    <s v="REG101072"/>
    <s v="Cust 2781"/>
    <n v="30.45"/>
    <x v="638"/>
    <d v="2024-06-18T00:00:00"/>
    <s v="Eric"/>
  </r>
  <r>
    <d v="2023-02-02T00:00:00"/>
    <x v="1"/>
    <x v="3"/>
    <n v="1"/>
    <n v="80.959999999999994"/>
    <s v="Store A"/>
    <x v="0"/>
    <n v="0"/>
    <x v="5"/>
    <n v="80.959999999999994"/>
    <x v="2"/>
    <s v="FREESHIP"/>
    <n v="0"/>
    <s v="REG101073"/>
    <s v="Cust 9982"/>
    <n v="48.07"/>
    <x v="233"/>
    <d v="2023-02-05T00:00:00"/>
    <s v="Sophie"/>
  </r>
  <r>
    <d v="2023-05-04T00:00:00"/>
    <x v="0"/>
    <x v="1"/>
    <n v="20"/>
    <n v="42.12"/>
    <s v="Store B"/>
    <x v="0"/>
    <n v="0.15"/>
    <x v="1"/>
    <n v="716.04"/>
    <x v="2"/>
    <m/>
    <n v="0"/>
    <s v="REG101074"/>
    <s v="Cust 9561"/>
    <n v="43.22"/>
    <x v="639"/>
    <d v="2023-05-12T00:00:00"/>
    <s v="Eric"/>
  </r>
  <r>
    <d v="2023-05-24T00:00:00"/>
    <x v="4"/>
    <x v="4"/>
    <n v="3"/>
    <n v="366.65"/>
    <s v="Store D"/>
    <x v="0"/>
    <n v="0"/>
    <x v="3"/>
    <n v="1099.95"/>
    <x v="2"/>
    <s v="SAVE10"/>
    <n v="0"/>
    <s v="REG101075"/>
    <s v="Cust 3496"/>
    <n v="33.6"/>
    <x v="56"/>
    <d v="2023-05-31T00:00:00"/>
    <s v="Wendy"/>
  </r>
  <r>
    <d v="2023-02-03T00:00:00"/>
    <x v="4"/>
    <x v="4"/>
    <n v="19"/>
    <n v="534.91999999999996"/>
    <s v="Store D"/>
    <x v="1"/>
    <n v="0"/>
    <x v="4"/>
    <n v="10163.48"/>
    <x v="0"/>
    <m/>
    <n v="0"/>
    <s v="REG101076"/>
    <s v="Cust 4085"/>
    <n v="26.97"/>
    <x v="151"/>
    <d v="2023-02-13T00:00:00"/>
    <s v="Wendy"/>
  </r>
  <r>
    <d v="2023-12-25T00:00:00"/>
    <x v="0"/>
    <x v="3"/>
    <n v="1"/>
    <n v="494.52"/>
    <s v="Store D"/>
    <x v="1"/>
    <n v="0"/>
    <x v="5"/>
    <n v="494.52"/>
    <x v="2"/>
    <m/>
    <n v="0"/>
    <s v="REG101077"/>
    <s v="Cust 1921"/>
    <n v="43.02"/>
    <x v="486"/>
    <d v="2024-01-02T00:00:00"/>
    <s v="Eric"/>
  </r>
  <r>
    <d v="2023-07-26T00:00:00"/>
    <x v="0"/>
    <x v="4"/>
    <n v="6"/>
    <n v="344.67"/>
    <s v="Store D"/>
    <x v="0"/>
    <n v="0.1"/>
    <x v="4"/>
    <n v="1861.2180000000001"/>
    <x v="0"/>
    <s v="SAVE10"/>
    <n v="1"/>
    <s v="REG101078"/>
    <s v="Cust 9053"/>
    <n v="31.13"/>
    <x v="238"/>
    <d v="2023-08-01T00:00:00"/>
    <s v="Eric"/>
  </r>
  <r>
    <d v="2024-06-06T00:00:00"/>
    <x v="3"/>
    <x v="4"/>
    <n v="12"/>
    <n v="489.14"/>
    <s v="Store D"/>
    <x v="1"/>
    <n v="0.15"/>
    <x v="5"/>
    <n v="4989.2280000000001"/>
    <x v="0"/>
    <s v="SAVE10"/>
    <n v="0"/>
    <s v="REG101079"/>
    <s v="Cust 9345"/>
    <n v="29.31"/>
    <x v="566"/>
    <d v="2024-06-15T00:00:00"/>
    <s v="Cameron"/>
  </r>
  <r>
    <d v="2024-10-13T00:00:00"/>
    <x v="1"/>
    <x v="6"/>
    <n v="18"/>
    <n v="256.23"/>
    <s v="Store B"/>
    <x v="0"/>
    <n v="0.05"/>
    <x v="0"/>
    <n v="4381.5330000000004"/>
    <x v="3"/>
    <m/>
    <n v="0"/>
    <s v="REG101080"/>
    <s v="Cust 3559"/>
    <n v="11.21"/>
    <x v="129"/>
    <d v="2024-10-18T00:00:00"/>
    <s v="Sophie"/>
  </r>
  <r>
    <d v="2024-11-03T00:00:00"/>
    <x v="2"/>
    <x v="6"/>
    <n v="17"/>
    <n v="99.76"/>
    <s v="Store C"/>
    <x v="0"/>
    <n v="0"/>
    <x v="4"/>
    <n v="1695.92"/>
    <x v="0"/>
    <s v="FREESHIP"/>
    <n v="1"/>
    <s v="REG101081"/>
    <s v="Cust 1762"/>
    <n v="21.89"/>
    <x v="640"/>
    <d v="2024-11-13T00:00:00"/>
    <s v="Ryan"/>
  </r>
  <r>
    <d v="2024-02-03T00:00:00"/>
    <x v="2"/>
    <x v="6"/>
    <n v="14"/>
    <n v="575.66"/>
    <s v="Store C"/>
    <x v="0"/>
    <n v="0.1"/>
    <x v="2"/>
    <n v="7253.3159999999998"/>
    <x v="2"/>
    <m/>
    <n v="0"/>
    <s v="REG101082"/>
    <s v="Cust 7060"/>
    <n v="32.53"/>
    <x v="490"/>
    <d v="2024-02-11T00:00:00"/>
    <s v="Ryan"/>
  </r>
  <r>
    <d v="2023-01-10T00:00:00"/>
    <x v="0"/>
    <x v="3"/>
    <n v="6"/>
    <n v="176.52"/>
    <s v="Store D"/>
    <x v="0"/>
    <n v="0.15"/>
    <x v="1"/>
    <n v="900.25200000000007"/>
    <x v="0"/>
    <s v="FREESHIP"/>
    <n v="0"/>
    <s v="REG101083"/>
    <s v="Cust 8796"/>
    <n v="16.98"/>
    <x v="579"/>
    <d v="2023-01-13T00:00:00"/>
    <s v="Eric"/>
  </r>
  <r>
    <d v="2023-10-16T00:00:00"/>
    <x v="0"/>
    <x v="5"/>
    <n v="6"/>
    <n v="485.66"/>
    <s v="Store D"/>
    <x v="0"/>
    <n v="0.05"/>
    <x v="0"/>
    <n v="2768.2620000000002"/>
    <x v="1"/>
    <s v="FREESHIP"/>
    <n v="0"/>
    <s v="REG101084"/>
    <s v="Cust 6055"/>
    <n v="30.62"/>
    <x v="641"/>
    <d v="2023-10-22T00:00:00"/>
    <s v="Eric"/>
  </r>
  <r>
    <d v="2025-03-19T00:00:00"/>
    <x v="3"/>
    <x v="0"/>
    <n v="8"/>
    <n v="141.61000000000001"/>
    <s v="Store B"/>
    <x v="1"/>
    <n v="0.1"/>
    <x v="5"/>
    <n v="1019.592"/>
    <x v="1"/>
    <s v="WINTER15"/>
    <n v="0"/>
    <s v="REG101085"/>
    <s v="Cust 5779"/>
    <n v="14.02"/>
    <x v="302"/>
    <d v="2025-03-24T00:00:00"/>
    <s v="Cameron"/>
  </r>
  <r>
    <d v="2024-12-16T00:00:00"/>
    <x v="4"/>
    <x v="2"/>
    <n v="9"/>
    <n v="215.29"/>
    <s v="Store C"/>
    <x v="0"/>
    <n v="0.1"/>
    <x v="1"/>
    <n v="1743.8489999999999"/>
    <x v="2"/>
    <s v="WINTER15"/>
    <n v="0"/>
    <s v="REG101086"/>
    <s v="Cust 9330"/>
    <n v="5.84"/>
    <x v="284"/>
    <d v="2024-12-19T00:00:00"/>
    <s v="Wendy"/>
  </r>
  <r>
    <d v="2023-08-16T00:00:00"/>
    <x v="4"/>
    <x v="0"/>
    <n v="18"/>
    <n v="497.22"/>
    <s v="Store B"/>
    <x v="0"/>
    <n v="0.05"/>
    <x v="4"/>
    <n v="8502.4620000000014"/>
    <x v="2"/>
    <s v="WINTER15"/>
    <n v="0"/>
    <s v="REG101087"/>
    <s v="Cust 5374"/>
    <n v="17.39"/>
    <x v="484"/>
    <d v="2023-08-20T00:00:00"/>
    <s v="Wendy"/>
  </r>
  <r>
    <d v="2023-01-10T00:00:00"/>
    <x v="0"/>
    <x v="2"/>
    <n v="13"/>
    <n v="347.73"/>
    <s v="Store B"/>
    <x v="0"/>
    <n v="0.05"/>
    <x v="4"/>
    <n v="4294.4654999999993"/>
    <x v="1"/>
    <s v="FREESHIP"/>
    <n v="1"/>
    <s v="REG101088"/>
    <s v="Cust 3321"/>
    <n v="31.81"/>
    <x v="579"/>
    <d v="2023-01-20T00:00:00"/>
    <s v="Eric"/>
  </r>
  <r>
    <d v="2025-05-09T00:00:00"/>
    <x v="3"/>
    <x v="3"/>
    <n v="3"/>
    <n v="371.21"/>
    <s v="Store C"/>
    <x v="0"/>
    <n v="0.1"/>
    <x v="0"/>
    <n v="1002.2670000000001"/>
    <x v="1"/>
    <s v="SAVE10"/>
    <n v="0"/>
    <s v="REG101089"/>
    <s v="Cust 6554"/>
    <n v="20.02"/>
    <x v="589"/>
    <d v="2025-05-18T00:00:00"/>
    <s v="Cameron"/>
  </r>
  <r>
    <d v="2024-04-08T00:00:00"/>
    <x v="0"/>
    <x v="6"/>
    <n v="12"/>
    <n v="434.33"/>
    <s v="Store A"/>
    <x v="0"/>
    <n v="0.15"/>
    <x v="5"/>
    <n v="4430.1660000000002"/>
    <x v="4"/>
    <s v="FREESHIP"/>
    <n v="0"/>
    <s v="REG101090"/>
    <s v="Cust 6855"/>
    <n v="15.33"/>
    <x v="413"/>
    <d v="2024-04-16T00:00:00"/>
    <s v="Eric"/>
  </r>
  <r>
    <d v="2025-05-06T00:00:00"/>
    <x v="0"/>
    <x v="4"/>
    <n v="16"/>
    <n v="426.65"/>
    <s v="Store A"/>
    <x v="1"/>
    <n v="0.1"/>
    <x v="4"/>
    <n v="6143.76"/>
    <x v="1"/>
    <m/>
    <n v="0"/>
    <s v="REG101091"/>
    <s v="Cust 9955"/>
    <n v="10.199999999999999"/>
    <x v="276"/>
    <d v="2025-05-15T00:00:00"/>
    <s v="Eric"/>
  </r>
  <r>
    <d v="2023-05-21T00:00:00"/>
    <x v="4"/>
    <x v="2"/>
    <n v="6"/>
    <n v="294.97000000000003"/>
    <s v="Store A"/>
    <x v="0"/>
    <n v="0.05"/>
    <x v="5"/>
    <n v="1681.329"/>
    <x v="2"/>
    <s v="WINTER15"/>
    <n v="0"/>
    <s v="REG101092"/>
    <s v="Cust 3320"/>
    <n v="48.08"/>
    <x v="642"/>
    <d v="2023-05-29T00:00:00"/>
    <s v="Wendy"/>
  </r>
  <r>
    <d v="2023-11-23T00:00:00"/>
    <x v="3"/>
    <x v="1"/>
    <n v="12"/>
    <n v="130.9"/>
    <s v="Store D"/>
    <x v="1"/>
    <n v="0.15"/>
    <x v="1"/>
    <n v="1335.18"/>
    <x v="3"/>
    <s v="SAVE10"/>
    <n v="0"/>
    <s v="REG101093"/>
    <s v="Cust 8177"/>
    <n v="34.69"/>
    <x v="488"/>
    <d v="2023-11-30T00:00:00"/>
    <s v="Cameron"/>
  </r>
  <r>
    <d v="2024-03-26T00:00:00"/>
    <x v="2"/>
    <x v="4"/>
    <n v="18"/>
    <n v="539.98"/>
    <s v="Store C"/>
    <x v="1"/>
    <n v="0.15"/>
    <x v="0"/>
    <n v="8261.6939999999995"/>
    <x v="4"/>
    <s v="FREESHIP"/>
    <n v="1"/>
    <s v="REG101094"/>
    <s v="Cust 1743"/>
    <n v="34.44"/>
    <x v="643"/>
    <d v="2024-04-05T00:00:00"/>
    <s v="Ryan"/>
  </r>
  <r>
    <d v="2024-09-25T00:00:00"/>
    <x v="1"/>
    <x v="2"/>
    <n v="12"/>
    <n v="149.37"/>
    <s v="Store D"/>
    <x v="1"/>
    <n v="0.1"/>
    <x v="5"/>
    <n v="1613.1959999999999"/>
    <x v="2"/>
    <m/>
    <n v="0"/>
    <s v="REG101095"/>
    <s v="Cust 3719"/>
    <n v="20.21"/>
    <x v="644"/>
    <d v="2024-10-02T00:00:00"/>
    <s v="Sophie"/>
  </r>
  <r>
    <d v="2023-04-06T00:00:00"/>
    <x v="0"/>
    <x v="3"/>
    <n v="5"/>
    <n v="411.24"/>
    <s v="Store A"/>
    <x v="0"/>
    <n v="0.15"/>
    <x v="5"/>
    <n v="1747.77"/>
    <x v="4"/>
    <s v="WINTER15"/>
    <n v="1"/>
    <s v="REG101096"/>
    <s v="Cust 9323"/>
    <n v="5.35"/>
    <x v="645"/>
    <d v="2023-04-10T00:00:00"/>
    <s v="Eric"/>
  </r>
  <r>
    <d v="2024-06-24T00:00:00"/>
    <x v="2"/>
    <x v="3"/>
    <n v="16"/>
    <n v="462.86"/>
    <s v="Store D"/>
    <x v="1"/>
    <n v="0.05"/>
    <x v="5"/>
    <n v="7035.4719999999998"/>
    <x v="4"/>
    <m/>
    <n v="1"/>
    <s v="REG101097"/>
    <s v="Cust 1914"/>
    <n v="17.43"/>
    <x v="503"/>
    <d v="2024-06-26T00:00:00"/>
    <s v="Ryan"/>
  </r>
  <r>
    <d v="2024-12-15T00:00:00"/>
    <x v="1"/>
    <x v="0"/>
    <n v="17"/>
    <n v="506.38"/>
    <s v="Store B"/>
    <x v="0"/>
    <n v="0"/>
    <x v="3"/>
    <n v="8608.4599999999991"/>
    <x v="4"/>
    <s v="WINTER15"/>
    <n v="1"/>
    <s v="REG101098"/>
    <s v="Cust 5928"/>
    <n v="33.36"/>
    <x v="646"/>
    <d v="2024-12-23T00:00:00"/>
    <s v="Sophie"/>
  </r>
  <r>
    <d v="2024-10-03T00:00:00"/>
    <x v="2"/>
    <x v="2"/>
    <n v="19"/>
    <n v="25.61"/>
    <s v="Store B"/>
    <x v="1"/>
    <n v="0"/>
    <x v="5"/>
    <n v="486.59"/>
    <x v="1"/>
    <m/>
    <n v="0"/>
    <s v="REG101099"/>
    <s v="Cust 1904"/>
    <n v="30.32"/>
    <x v="449"/>
    <d v="2024-10-11T00:00:00"/>
    <s v="Ryan"/>
  </r>
  <r>
    <d v="2023-09-03T00:00:00"/>
    <x v="1"/>
    <x v="2"/>
    <n v="4"/>
    <n v="467.45"/>
    <s v="Store C"/>
    <x v="0"/>
    <n v="0.05"/>
    <x v="2"/>
    <n v="1776.31"/>
    <x v="1"/>
    <s v="WINTER15"/>
    <n v="0"/>
    <s v="REG101100"/>
    <s v="Cust 8062"/>
    <n v="25.05"/>
    <x v="34"/>
    <d v="2023-09-13T00:00:00"/>
    <s v="Sophie"/>
  </r>
  <r>
    <d v="2023-01-29T00:00:00"/>
    <x v="2"/>
    <x v="6"/>
    <n v="10"/>
    <n v="140.5"/>
    <s v="Store B"/>
    <x v="1"/>
    <n v="0.15"/>
    <x v="3"/>
    <n v="1194.25"/>
    <x v="0"/>
    <s v="FREESHIP"/>
    <n v="0"/>
    <s v="REG101101"/>
    <s v="Cust 8150"/>
    <n v="43.81"/>
    <x v="603"/>
    <d v="2023-02-05T00:00:00"/>
    <s v="Ryan"/>
  </r>
  <r>
    <d v="2024-06-12T00:00:00"/>
    <x v="2"/>
    <x v="1"/>
    <n v="8"/>
    <n v="57.85"/>
    <s v="Store D"/>
    <x v="0"/>
    <n v="0"/>
    <x v="2"/>
    <n v="462.8"/>
    <x v="0"/>
    <s v="WINTER15"/>
    <n v="1"/>
    <s v="REG101102"/>
    <s v="Cust 3275"/>
    <n v="49.82"/>
    <x v="638"/>
    <d v="2024-06-20T00:00:00"/>
    <s v="Ryan"/>
  </r>
  <r>
    <d v="2024-11-24T00:00:00"/>
    <x v="2"/>
    <x v="4"/>
    <n v="9"/>
    <n v="539.64"/>
    <s v="Store A"/>
    <x v="1"/>
    <n v="0.15"/>
    <x v="1"/>
    <n v="4128.2460000000001"/>
    <x v="1"/>
    <m/>
    <n v="0"/>
    <s v="REG101103"/>
    <s v="Cust 3854"/>
    <n v="16.079999999999998"/>
    <x v="224"/>
    <d v="2024-12-03T00:00:00"/>
    <s v="Ryan"/>
  </r>
  <r>
    <d v="2023-08-15T00:00:00"/>
    <x v="4"/>
    <x v="4"/>
    <n v="18"/>
    <n v="476.32"/>
    <s v="Store A"/>
    <x v="0"/>
    <n v="0"/>
    <x v="4"/>
    <n v="8573.76"/>
    <x v="2"/>
    <s v="SAVE10"/>
    <n v="1"/>
    <s v="REG101104"/>
    <s v="Cust 8398"/>
    <n v="47.43"/>
    <x v="374"/>
    <d v="2023-08-20T00:00:00"/>
    <s v="Wendy"/>
  </r>
  <r>
    <d v="2024-08-21T00:00:00"/>
    <x v="3"/>
    <x v="5"/>
    <n v="11"/>
    <n v="143.85"/>
    <s v="Store A"/>
    <x v="0"/>
    <n v="0.1"/>
    <x v="0"/>
    <n v="1424.115"/>
    <x v="3"/>
    <s v="FREESHIP"/>
    <n v="0"/>
    <s v="REG101105"/>
    <s v="Cust 4026"/>
    <n v="6.85"/>
    <x v="647"/>
    <d v="2024-08-30T00:00:00"/>
    <s v="Cameron"/>
  </r>
  <r>
    <d v="2023-05-24T00:00:00"/>
    <x v="4"/>
    <x v="4"/>
    <n v="4"/>
    <n v="323.63"/>
    <s v="Store C"/>
    <x v="1"/>
    <n v="0.1"/>
    <x v="3"/>
    <n v="1165.068"/>
    <x v="2"/>
    <s v="FREESHIP"/>
    <n v="0"/>
    <s v="REG101106"/>
    <s v="Cust 5794"/>
    <n v="32.92"/>
    <x v="56"/>
    <d v="2023-06-01T00:00:00"/>
    <s v="Wendy"/>
  </r>
  <r>
    <d v="2023-04-27T00:00:00"/>
    <x v="4"/>
    <x v="4"/>
    <n v="16"/>
    <n v="37.4"/>
    <s v="Store A"/>
    <x v="0"/>
    <n v="0.05"/>
    <x v="5"/>
    <n v="568.4799999999999"/>
    <x v="2"/>
    <s v="FREESHIP"/>
    <n v="0"/>
    <s v="REG101107"/>
    <s v="Cust 2917"/>
    <n v="49.55"/>
    <x v="178"/>
    <d v="2023-05-01T00:00:00"/>
    <s v="Wendy"/>
  </r>
  <r>
    <d v="2023-05-21T00:00:00"/>
    <x v="0"/>
    <x v="5"/>
    <n v="1"/>
    <n v="418.98"/>
    <s v="Store B"/>
    <x v="1"/>
    <n v="0.1"/>
    <x v="3"/>
    <n v="377.08200000000011"/>
    <x v="1"/>
    <s v="FREESHIP"/>
    <n v="0"/>
    <s v="REG101108"/>
    <s v="Cust 5659"/>
    <n v="43.72"/>
    <x v="642"/>
    <d v="2023-05-26T00:00:00"/>
    <s v="Eric"/>
  </r>
  <r>
    <d v="2025-02-16T00:00:00"/>
    <x v="0"/>
    <x v="4"/>
    <n v="12"/>
    <n v="108.35"/>
    <s v="Store A"/>
    <x v="0"/>
    <n v="0"/>
    <x v="4"/>
    <n v="1300.2"/>
    <x v="0"/>
    <s v="FREESHIP"/>
    <n v="0"/>
    <s v="REG101109"/>
    <s v="Cust 1857"/>
    <n v="42.06"/>
    <x v="586"/>
    <d v="2025-02-25T00:00:00"/>
    <s v="Eric"/>
  </r>
  <r>
    <d v="2023-08-24T00:00:00"/>
    <x v="0"/>
    <x v="5"/>
    <n v="5"/>
    <n v="256.42"/>
    <s v="Store B"/>
    <x v="1"/>
    <n v="0"/>
    <x v="1"/>
    <n v="1282.0999999999999"/>
    <x v="1"/>
    <s v="FREESHIP"/>
    <n v="0"/>
    <s v="REG101110"/>
    <s v="Cust 6718"/>
    <n v="28.74"/>
    <x v="648"/>
    <d v="2023-08-29T00:00:00"/>
    <s v="Eric"/>
  </r>
  <r>
    <d v="2024-03-14T00:00:00"/>
    <x v="0"/>
    <x v="2"/>
    <n v="16"/>
    <n v="544.91"/>
    <s v="Store B"/>
    <x v="1"/>
    <n v="0.1"/>
    <x v="2"/>
    <n v="7846.7039999999997"/>
    <x v="2"/>
    <s v="FREESHIP"/>
    <n v="0"/>
    <s v="REG101111"/>
    <s v="Cust 8378"/>
    <n v="39.26"/>
    <x v="47"/>
    <d v="2024-03-21T00:00:00"/>
    <s v="Eric"/>
  </r>
  <r>
    <d v="2024-01-29T00:00:00"/>
    <x v="2"/>
    <x v="2"/>
    <n v="19"/>
    <n v="113.42"/>
    <s v="Store A"/>
    <x v="1"/>
    <n v="0"/>
    <x v="0"/>
    <n v="2154.98"/>
    <x v="3"/>
    <s v="WINTER15"/>
    <n v="0"/>
    <s v="REG101112"/>
    <s v="Cust 3069"/>
    <n v="44.96"/>
    <x v="282"/>
    <d v="2024-02-07T00:00:00"/>
    <s v="Ryan"/>
  </r>
  <r>
    <d v="2024-08-09T00:00:00"/>
    <x v="1"/>
    <x v="1"/>
    <n v="10"/>
    <n v="522.73"/>
    <s v="Store C"/>
    <x v="1"/>
    <n v="0.1"/>
    <x v="5"/>
    <n v="4704.5700000000006"/>
    <x v="2"/>
    <m/>
    <n v="0"/>
    <s v="REG101113"/>
    <s v="Cust 7619"/>
    <n v="20.059999999999999"/>
    <x v="649"/>
    <d v="2024-08-15T00:00:00"/>
    <s v="Sophie"/>
  </r>
  <r>
    <d v="2024-07-08T00:00:00"/>
    <x v="2"/>
    <x v="5"/>
    <n v="18"/>
    <n v="448.03"/>
    <s v="Store B"/>
    <x v="1"/>
    <n v="0.15"/>
    <x v="2"/>
    <n v="6854.8589999999986"/>
    <x v="4"/>
    <s v="WINTER15"/>
    <n v="1"/>
    <s v="REG101114"/>
    <s v="Cust 6167"/>
    <n v="13.23"/>
    <x v="172"/>
    <d v="2024-07-17T00:00:00"/>
    <s v="Ryan"/>
  </r>
  <r>
    <d v="2024-08-20T00:00:00"/>
    <x v="2"/>
    <x v="4"/>
    <n v="15"/>
    <n v="208.51"/>
    <s v="Store A"/>
    <x v="1"/>
    <n v="0.05"/>
    <x v="3"/>
    <n v="2971.267499999999"/>
    <x v="1"/>
    <m/>
    <n v="0"/>
    <s v="REG101115"/>
    <s v="Cust 2453"/>
    <n v="37.81"/>
    <x v="650"/>
    <d v="2024-08-29T00:00:00"/>
    <s v="Ryan"/>
  </r>
  <r>
    <d v="2023-06-26T00:00:00"/>
    <x v="3"/>
    <x v="0"/>
    <n v="13"/>
    <n v="423.64"/>
    <s v="Store C"/>
    <x v="1"/>
    <n v="0.1"/>
    <x v="1"/>
    <n v="4956.5879999999997"/>
    <x v="3"/>
    <m/>
    <n v="1"/>
    <s v="REG101116"/>
    <s v="Cust 8896"/>
    <n v="23.31"/>
    <x v="651"/>
    <d v="2023-06-28T00:00:00"/>
    <s v="Cameron"/>
  </r>
  <r>
    <d v="2023-12-23T00:00:00"/>
    <x v="0"/>
    <x v="3"/>
    <n v="5"/>
    <n v="552.26"/>
    <s v="Store D"/>
    <x v="0"/>
    <n v="0.15"/>
    <x v="1"/>
    <n v="2347.105"/>
    <x v="3"/>
    <s v="WINTER15"/>
    <n v="0"/>
    <s v="REG101117"/>
    <s v="Cust 8800"/>
    <n v="26.5"/>
    <x v="467"/>
    <d v="2023-12-25T00:00:00"/>
    <s v="Eric"/>
  </r>
  <r>
    <d v="2023-08-20T00:00:00"/>
    <x v="3"/>
    <x v="2"/>
    <n v="1"/>
    <n v="182.11"/>
    <s v="Store A"/>
    <x v="1"/>
    <n v="0.1"/>
    <x v="3"/>
    <n v="163.899"/>
    <x v="2"/>
    <s v="WINTER15"/>
    <n v="0"/>
    <s v="REG101118"/>
    <s v="Cust 1819"/>
    <n v="7.31"/>
    <x v="652"/>
    <d v="2023-08-27T00:00:00"/>
    <s v="Cameron"/>
  </r>
  <r>
    <d v="2024-10-28T00:00:00"/>
    <x v="4"/>
    <x v="2"/>
    <n v="7"/>
    <n v="466.36"/>
    <s v="Store D"/>
    <x v="0"/>
    <n v="0.05"/>
    <x v="5"/>
    <n v="3101.2939999999999"/>
    <x v="0"/>
    <s v="SAVE10"/>
    <n v="1"/>
    <s v="REG101119"/>
    <s v="Cust 1300"/>
    <n v="11.45"/>
    <x v="653"/>
    <d v="2024-11-06T00:00:00"/>
    <s v="Wendy"/>
  </r>
  <r>
    <d v="2024-11-11T00:00:00"/>
    <x v="0"/>
    <x v="6"/>
    <n v="15"/>
    <n v="140.54"/>
    <s v="Store A"/>
    <x v="0"/>
    <n v="0.1"/>
    <x v="0"/>
    <n v="1897.29"/>
    <x v="2"/>
    <s v="SAVE10"/>
    <n v="0"/>
    <s v="REG101120"/>
    <s v="Cust 3807"/>
    <n v="49.91"/>
    <x v="207"/>
    <d v="2024-11-21T00:00:00"/>
    <s v="Eric"/>
  </r>
  <r>
    <d v="2023-12-07T00:00:00"/>
    <x v="4"/>
    <x v="2"/>
    <n v="17"/>
    <n v="460.31"/>
    <s v="Store A"/>
    <x v="1"/>
    <n v="0.15"/>
    <x v="4"/>
    <n v="6651.4795000000004"/>
    <x v="0"/>
    <s v="WINTER15"/>
    <n v="0"/>
    <s v="REG101121"/>
    <s v="Cust 6633"/>
    <n v="40.18"/>
    <x v="654"/>
    <d v="2023-12-15T00:00:00"/>
    <s v="Wendy"/>
  </r>
  <r>
    <d v="2024-03-23T00:00:00"/>
    <x v="4"/>
    <x v="0"/>
    <n v="5"/>
    <n v="132.87"/>
    <s v="Store B"/>
    <x v="1"/>
    <n v="0"/>
    <x v="5"/>
    <n v="664.35"/>
    <x v="3"/>
    <s v="WINTER15"/>
    <n v="0"/>
    <s v="REG101122"/>
    <s v="Cust 6573"/>
    <n v="37.909999999999997"/>
    <x v="105"/>
    <d v="2024-04-02T00:00:00"/>
    <s v="Wendy"/>
  </r>
  <r>
    <d v="2024-10-29T00:00:00"/>
    <x v="4"/>
    <x v="5"/>
    <n v="12"/>
    <n v="209.86"/>
    <s v="Store D"/>
    <x v="1"/>
    <n v="0.05"/>
    <x v="5"/>
    <n v="2392.404"/>
    <x v="0"/>
    <s v="WINTER15"/>
    <n v="0"/>
    <s v="REG101123"/>
    <s v="Cust 8600"/>
    <n v="8.7799999999999994"/>
    <x v="525"/>
    <d v="2024-11-02T00:00:00"/>
    <s v="Wendy"/>
  </r>
  <r>
    <d v="2025-06-17T00:00:00"/>
    <x v="0"/>
    <x v="0"/>
    <n v="9"/>
    <n v="31.35"/>
    <s v="Store B"/>
    <x v="1"/>
    <n v="0.1"/>
    <x v="4"/>
    <n v="253.935"/>
    <x v="4"/>
    <s v="SAVE10"/>
    <n v="0"/>
    <s v="REG101124"/>
    <s v="Cust 8654"/>
    <n v="39.32"/>
    <x v="655"/>
    <d v="2025-06-22T00:00:00"/>
    <s v="Eric"/>
  </r>
  <r>
    <d v="2023-03-18T00:00:00"/>
    <x v="2"/>
    <x v="3"/>
    <n v="11"/>
    <n v="335.11"/>
    <s v="Store C"/>
    <x v="1"/>
    <n v="0"/>
    <x v="2"/>
    <n v="3686.21"/>
    <x v="1"/>
    <s v="FREESHIP"/>
    <n v="0"/>
    <s v="REG101125"/>
    <s v="Cust 3708"/>
    <n v="29.95"/>
    <x v="132"/>
    <d v="2023-03-26T00:00:00"/>
    <s v="Ryan"/>
  </r>
  <r>
    <d v="2023-01-19T00:00:00"/>
    <x v="0"/>
    <x v="1"/>
    <n v="8"/>
    <n v="277.43"/>
    <s v="Store D"/>
    <x v="0"/>
    <n v="0"/>
    <x v="3"/>
    <n v="2219.44"/>
    <x v="0"/>
    <s v="SAVE10"/>
    <n v="0"/>
    <s v="REG101126"/>
    <s v="Cust 1268"/>
    <n v="36.380000000000003"/>
    <x v="656"/>
    <d v="2023-01-23T00:00:00"/>
    <s v="Eric"/>
  </r>
  <r>
    <d v="2023-07-09T00:00:00"/>
    <x v="4"/>
    <x v="2"/>
    <n v="6"/>
    <n v="287.72000000000003"/>
    <s v="Store A"/>
    <x v="1"/>
    <n v="0.05"/>
    <x v="5"/>
    <n v="1640.0039999999999"/>
    <x v="3"/>
    <s v="WINTER15"/>
    <n v="0"/>
    <s v="REG101127"/>
    <s v="Cust 5600"/>
    <n v="17.14"/>
    <x v="657"/>
    <d v="2023-07-14T00:00:00"/>
    <s v="Wendy"/>
  </r>
  <r>
    <d v="2025-03-16T00:00:00"/>
    <x v="0"/>
    <x v="0"/>
    <n v="14"/>
    <n v="459.61"/>
    <s v="Store B"/>
    <x v="1"/>
    <n v="0.05"/>
    <x v="2"/>
    <n v="6112.8130000000001"/>
    <x v="0"/>
    <m/>
    <n v="1"/>
    <s v="REG101128"/>
    <s v="Cust 2438"/>
    <n v="43.41"/>
    <x v="527"/>
    <d v="2025-03-26T00:00:00"/>
    <s v="Eric"/>
  </r>
  <r>
    <d v="2025-02-08T00:00:00"/>
    <x v="2"/>
    <x v="5"/>
    <n v="10"/>
    <n v="396.73"/>
    <s v="Store B"/>
    <x v="1"/>
    <n v="0.1"/>
    <x v="0"/>
    <n v="3570.57"/>
    <x v="0"/>
    <s v="FREESHIP"/>
    <n v="0"/>
    <s v="REG101129"/>
    <s v="Cust 4293"/>
    <n v="18.13"/>
    <x v="658"/>
    <d v="2025-02-13T00:00:00"/>
    <s v="Ryan"/>
  </r>
  <r>
    <d v="2024-04-20T00:00:00"/>
    <x v="1"/>
    <x v="6"/>
    <n v="20"/>
    <n v="516.42999999999995"/>
    <s v="Store B"/>
    <x v="1"/>
    <n v="0"/>
    <x v="5"/>
    <n v="10328.6"/>
    <x v="0"/>
    <s v="FREESHIP"/>
    <n v="0"/>
    <s v="REG101130"/>
    <s v="Cust 6895"/>
    <n v="36.229999999999997"/>
    <x v="528"/>
    <d v="2024-04-22T00:00:00"/>
    <s v="Sophie"/>
  </r>
  <r>
    <d v="2025-06-05T00:00:00"/>
    <x v="0"/>
    <x v="0"/>
    <n v="1"/>
    <n v="299.66000000000003"/>
    <s v="Store A"/>
    <x v="1"/>
    <n v="0.1"/>
    <x v="4"/>
    <n v="269.69400000000002"/>
    <x v="4"/>
    <s v="SAVE10"/>
    <n v="0"/>
    <s v="REG101131"/>
    <s v="Cust 2616"/>
    <n v="38.94"/>
    <x v="20"/>
    <d v="2025-06-07T00:00:00"/>
    <s v="Eric"/>
  </r>
  <r>
    <d v="2025-04-25T00:00:00"/>
    <x v="1"/>
    <x v="3"/>
    <n v="12"/>
    <n v="31.72"/>
    <s v="Store B"/>
    <x v="1"/>
    <n v="0"/>
    <x v="1"/>
    <n v="380.64"/>
    <x v="3"/>
    <s v="SAVE10"/>
    <n v="0"/>
    <s v="REG101132"/>
    <s v="Cust 5362"/>
    <n v="30.78"/>
    <x v="659"/>
    <d v="2025-05-03T00:00:00"/>
    <s v="Sophie"/>
  </r>
  <r>
    <d v="2023-09-06T00:00:00"/>
    <x v="3"/>
    <x v="1"/>
    <n v="17"/>
    <n v="588.58000000000004"/>
    <s v="Store D"/>
    <x v="0"/>
    <n v="0.05"/>
    <x v="4"/>
    <n v="9505.5670000000009"/>
    <x v="3"/>
    <s v="SAVE10"/>
    <n v="1"/>
    <s v="REG101133"/>
    <s v="Cust 1670"/>
    <n v="25.31"/>
    <x v="476"/>
    <d v="2023-09-13T00:00:00"/>
    <s v="Cameron"/>
  </r>
  <r>
    <d v="2023-09-29T00:00:00"/>
    <x v="0"/>
    <x v="0"/>
    <n v="11"/>
    <n v="203.15"/>
    <s v="Store C"/>
    <x v="1"/>
    <n v="0.1"/>
    <x v="0"/>
    <n v="2011.1849999999999"/>
    <x v="0"/>
    <s v="FREESHIP"/>
    <n v="0"/>
    <s v="REG101134"/>
    <s v="Cust 2254"/>
    <n v="30.97"/>
    <x v="100"/>
    <d v="2023-10-02T00:00:00"/>
    <s v="Eric"/>
  </r>
  <r>
    <d v="2024-05-21T00:00:00"/>
    <x v="3"/>
    <x v="4"/>
    <n v="18"/>
    <n v="139.13999999999999"/>
    <s v="Store A"/>
    <x v="0"/>
    <n v="0"/>
    <x v="3"/>
    <n v="2504.52"/>
    <x v="0"/>
    <s v="FREESHIP"/>
    <n v="1"/>
    <s v="REG101135"/>
    <s v="Cust 9521"/>
    <n v="10.56"/>
    <x v="660"/>
    <d v="2024-05-23T00:00:00"/>
    <s v="Cameron"/>
  </r>
  <r>
    <d v="2025-04-13T00:00:00"/>
    <x v="4"/>
    <x v="4"/>
    <n v="2"/>
    <n v="158.99"/>
    <s v="Store A"/>
    <x v="0"/>
    <n v="0"/>
    <x v="5"/>
    <n v="317.98"/>
    <x v="0"/>
    <m/>
    <n v="0"/>
    <s v="REG101136"/>
    <s v="Cust 3921"/>
    <n v="48.32"/>
    <x v="91"/>
    <d v="2025-04-19T00:00:00"/>
    <s v="Wendy"/>
  </r>
  <r>
    <d v="2024-11-16T00:00:00"/>
    <x v="0"/>
    <x v="3"/>
    <n v="3"/>
    <n v="387.63"/>
    <s v="Store A"/>
    <x v="0"/>
    <n v="0"/>
    <x v="4"/>
    <n v="1162.8900000000001"/>
    <x v="2"/>
    <s v="WINTER15"/>
    <n v="0"/>
    <s v="REG101137"/>
    <s v="Cust 7628"/>
    <n v="30.08"/>
    <x v="85"/>
    <d v="2024-11-20T00:00:00"/>
    <s v="Eric"/>
  </r>
  <r>
    <d v="2024-07-20T00:00:00"/>
    <x v="2"/>
    <x v="2"/>
    <n v="5"/>
    <n v="202.12"/>
    <s v="Store A"/>
    <x v="1"/>
    <n v="0.1"/>
    <x v="4"/>
    <n v="909.54000000000008"/>
    <x v="0"/>
    <s v="FREESHIP"/>
    <n v="1"/>
    <s v="REG101138"/>
    <s v="Cust 2453"/>
    <n v="45.61"/>
    <x v="555"/>
    <d v="2024-07-28T00:00:00"/>
    <s v="Ryan"/>
  </r>
  <r>
    <d v="2023-05-20T00:00:00"/>
    <x v="2"/>
    <x v="2"/>
    <n v="4"/>
    <n v="334.57"/>
    <s v="Store C"/>
    <x v="1"/>
    <n v="0.15"/>
    <x v="3"/>
    <n v="1137.538"/>
    <x v="1"/>
    <m/>
    <n v="0"/>
    <s v="REG101139"/>
    <s v="Cust 4210"/>
    <n v="11.49"/>
    <x v="42"/>
    <d v="2023-05-27T00:00:00"/>
    <s v="Ryan"/>
  </r>
  <r>
    <d v="2023-10-22T00:00:00"/>
    <x v="4"/>
    <x v="1"/>
    <n v="16"/>
    <n v="486.71"/>
    <s v="Store B"/>
    <x v="0"/>
    <n v="0.15"/>
    <x v="3"/>
    <n v="6619.2559999999994"/>
    <x v="0"/>
    <s v="FREESHIP"/>
    <n v="1"/>
    <s v="REG101140"/>
    <s v="Cust 1951"/>
    <n v="12.53"/>
    <x v="661"/>
    <d v="2023-10-26T00:00:00"/>
    <s v="Wendy"/>
  </r>
  <r>
    <d v="2025-05-18T00:00:00"/>
    <x v="2"/>
    <x v="4"/>
    <n v="2"/>
    <n v="188.29"/>
    <s v="Store D"/>
    <x v="0"/>
    <n v="0.15"/>
    <x v="5"/>
    <n v="320.09300000000002"/>
    <x v="2"/>
    <s v="SAVE10"/>
    <n v="0"/>
    <s v="REG101141"/>
    <s v="Cust 9405"/>
    <n v="32.22"/>
    <x v="662"/>
    <d v="2025-05-21T00:00:00"/>
    <s v="Ryan"/>
  </r>
  <r>
    <d v="2024-03-03T00:00:00"/>
    <x v="1"/>
    <x v="0"/>
    <n v="3"/>
    <n v="260.72000000000003"/>
    <s v="Store B"/>
    <x v="0"/>
    <n v="0.15"/>
    <x v="2"/>
    <n v="664.83600000000001"/>
    <x v="0"/>
    <s v="WINTER15"/>
    <n v="0"/>
    <s v="REG101142"/>
    <s v="Cust 8769"/>
    <n v="19.41"/>
    <x v="69"/>
    <d v="2024-03-06T00:00:00"/>
    <s v="Sophie"/>
  </r>
  <r>
    <d v="2023-07-23T00:00:00"/>
    <x v="0"/>
    <x v="2"/>
    <n v="6"/>
    <n v="358.27"/>
    <s v="Store B"/>
    <x v="1"/>
    <n v="0.1"/>
    <x v="2"/>
    <n v="1934.6579999999999"/>
    <x v="1"/>
    <m/>
    <n v="0"/>
    <s v="REG101143"/>
    <s v="Cust 9982"/>
    <n v="7.34"/>
    <x v="41"/>
    <d v="2023-08-02T00:00:00"/>
    <s v="Eric"/>
  </r>
  <r>
    <d v="2025-02-09T00:00:00"/>
    <x v="2"/>
    <x v="2"/>
    <n v="13"/>
    <n v="492.66"/>
    <s v="Store B"/>
    <x v="1"/>
    <n v="0.1"/>
    <x v="2"/>
    <n v="5764.1220000000003"/>
    <x v="1"/>
    <s v="FREESHIP"/>
    <n v="0"/>
    <s v="REG101144"/>
    <s v="Cust 4068"/>
    <n v="46.21"/>
    <x v="663"/>
    <d v="2025-02-14T00:00:00"/>
    <s v="Ryan"/>
  </r>
  <r>
    <d v="2023-01-17T00:00:00"/>
    <x v="1"/>
    <x v="3"/>
    <n v="3"/>
    <n v="348.38"/>
    <s v="Store B"/>
    <x v="0"/>
    <n v="0"/>
    <x v="3"/>
    <n v="1045.1400000000001"/>
    <x v="1"/>
    <s v="FREESHIP"/>
    <n v="0"/>
    <s v="REG101145"/>
    <s v="Cust 3523"/>
    <n v="26.25"/>
    <x v="585"/>
    <d v="2023-01-23T00:00:00"/>
    <s v="Sophie"/>
  </r>
  <r>
    <d v="2023-09-17T00:00:00"/>
    <x v="2"/>
    <x v="1"/>
    <n v="6"/>
    <n v="437.59"/>
    <s v="Store D"/>
    <x v="0"/>
    <n v="0.05"/>
    <x v="4"/>
    <n v="2494.2629999999999"/>
    <x v="1"/>
    <s v="WINTER15"/>
    <n v="1"/>
    <s v="REG101146"/>
    <s v="Cust 3377"/>
    <n v="39.4"/>
    <x v="121"/>
    <d v="2023-09-26T00:00:00"/>
    <s v="Ryan"/>
  </r>
  <r>
    <d v="2025-02-15T00:00:00"/>
    <x v="2"/>
    <x v="6"/>
    <n v="19"/>
    <n v="118.09"/>
    <s v="Store D"/>
    <x v="0"/>
    <n v="0.1"/>
    <x v="1"/>
    <n v="2019.3389999999999"/>
    <x v="0"/>
    <s v="SAVE10"/>
    <n v="0"/>
    <s v="REG101147"/>
    <s v="Cust 3125"/>
    <n v="10.77"/>
    <x v="664"/>
    <d v="2025-02-23T00:00:00"/>
    <s v="Ryan"/>
  </r>
  <r>
    <d v="2023-10-07T00:00:00"/>
    <x v="4"/>
    <x v="5"/>
    <n v="15"/>
    <n v="188.57"/>
    <s v="Store C"/>
    <x v="0"/>
    <n v="0.05"/>
    <x v="5"/>
    <n v="2687.122499999999"/>
    <x v="2"/>
    <s v="FREESHIP"/>
    <n v="1"/>
    <s v="REG101148"/>
    <s v="Cust 4623"/>
    <n v="38.61"/>
    <x v="444"/>
    <d v="2023-10-09T00:00:00"/>
    <s v="Wendy"/>
  </r>
  <r>
    <d v="2023-08-08T00:00:00"/>
    <x v="4"/>
    <x v="1"/>
    <n v="8"/>
    <n v="200.74"/>
    <s v="Store A"/>
    <x v="0"/>
    <n v="0"/>
    <x v="4"/>
    <n v="1605.92"/>
    <x v="1"/>
    <s v="SAVE10"/>
    <n v="1"/>
    <s v="REG101149"/>
    <s v="Cust 4571"/>
    <n v="30.7"/>
    <x v="665"/>
    <d v="2023-08-10T00:00:00"/>
    <s v="Wendy"/>
  </r>
  <r>
    <d v="2023-08-21T00:00:00"/>
    <x v="0"/>
    <x v="0"/>
    <n v="3"/>
    <n v="142.09"/>
    <s v="Store C"/>
    <x v="0"/>
    <n v="0.15"/>
    <x v="2"/>
    <n v="362.3295"/>
    <x v="1"/>
    <s v="WINTER15"/>
    <n v="0"/>
    <s v="REG101150"/>
    <s v="Cust 6453"/>
    <n v="26.04"/>
    <x v="666"/>
    <d v="2023-08-27T00:00:00"/>
    <s v="Eric"/>
  </r>
  <r>
    <d v="2024-07-07T00:00:00"/>
    <x v="2"/>
    <x v="5"/>
    <n v="15"/>
    <n v="576.12"/>
    <s v="Store D"/>
    <x v="1"/>
    <n v="0.1"/>
    <x v="1"/>
    <n v="7777.62"/>
    <x v="0"/>
    <s v="WINTER15"/>
    <n v="0"/>
    <s v="REG101151"/>
    <s v="Cust 6982"/>
    <n v="29.31"/>
    <x v="99"/>
    <d v="2024-07-11T00:00:00"/>
    <s v="Ryan"/>
  </r>
  <r>
    <d v="2025-01-17T00:00:00"/>
    <x v="1"/>
    <x v="2"/>
    <n v="9"/>
    <n v="96.97"/>
    <s v="Store D"/>
    <x v="1"/>
    <n v="0.15"/>
    <x v="5"/>
    <n v="741.82050000000004"/>
    <x v="2"/>
    <s v="WINTER15"/>
    <n v="1"/>
    <s v="REG101152"/>
    <s v="Cust 6824"/>
    <n v="30.87"/>
    <x v="50"/>
    <d v="2025-01-24T00:00:00"/>
    <s v="Sophie"/>
  </r>
  <r>
    <d v="2023-12-06T00:00:00"/>
    <x v="2"/>
    <x v="5"/>
    <n v="17"/>
    <n v="218.04"/>
    <s v="Store D"/>
    <x v="0"/>
    <n v="0.15"/>
    <x v="5"/>
    <n v="3150.6779999999999"/>
    <x v="4"/>
    <m/>
    <n v="0"/>
    <s v="REG101153"/>
    <s v="Cust 3172"/>
    <n v="16"/>
    <x v="667"/>
    <d v="2023-12-16T00:00:00"/>
    <s v="Ryan"/>
  </r>
  <r>
    <d v="2023-03-01T00:00:00"/>
    <x v="1"/>
    <x v="2"/>
    <n v="2"/>
    <n v="153.33000000000001"/>
    <s v="Store C"/>
    <x v="0"/>
    <n v="0.05"/>
    <x v="3"/>
    <n v="291.327"/>
    <x v="4"/>
    <m/>
    <n v="0"/>
    <s v="REG101154"/>
    <s v="Cust 8146"/>
    <n v="31.55"/>
    <x v="565"/>
    <d v="2023-03-04T00:00:00"/>
    <s v="Sophie"/>
  </r>
  <r>
    <d v="2025-02-11T00:00:00"/>
    <x v="2"/>
    <x v="6"/>
    <n v="8"/>
    <n v="316.12"/>
    <s v="Store B"/>
    <x v="0"/>
    <n v="0.1"/>
    <x v="4"/>
    <n v="2276.0639999999999"/>
    <x v="1"/>
    <s v="WINTER15"/>
    <n v="0"/>
    <s v="REG101155"/>
    <s v="Cust 3299"/>
    <n v="6.28"/>
    <x v="668"/>
    <d v="2025-02-15T00:00:00"/>
    <s v="Ryan"/>
  </r>
  <r>
    <d v="2023-06-20T00:00:00"/>
    <x v="3"/>
    <x v="6"/>
    <n v="13"/>
    <n v="153.57"/>
    <s v="Store B"/>
    <x v="0"/>
    <n v="0.05"/>
    <x v="3"/>
    <n v="1896.5895"/>
    <x v="1"/>
    <m/>
    <n v="0"/>
    <s v="REG101156"/>
    <s v="Cust 6476"/>
    <n v="27.98"/>
    <x v="300"/>
    <d v="2023-06-25T00:00:00"/>
    <s v="Cameron"/>
  </r>
  <r>
    <d v="2024-02-29T00:00:00"/>
    <x v="4"/>
    <x v="6"/>
    <n v="7"/>
    <n v="208.31"/>
    <s v="Store C"/>
    <x v="0"/>
    <n v="0.05"/>
    <x v="2"/>
    <n v="1385.2615000000001"/>
    <x v="0"/>
    <s v="SAVE10"/>
    <n v="0"/>
    <s v="REG101157"/>
    <s v="Cust 9835"/>
    <n v="26.57"/>
    <x v="459"/>
    <d v="2024-03-03T00:00:00"/>
    <s v="Wendy"/>
  </r>
  <r>
    <d v="2025-06-30T00:00:00"/>
    <x v="2"/>
    <x v="3"/>
    <n v="2"/>
    <n v="160.96"/>
    <s v="Store C"/>
    <x v="0"/>
    <n v="0.1"/>
    <x v="0"/>
    <n v="289.72800000000001"/>
    <x v="1"/>
    <s v="WINTER15"/>
    <n v="0"/>
    <s v="REG101158"/>
    <s v="Cust 1003"/>
    <n v="44.97"/>
    <x v="148"/>
    <d v="2025-07-05T00:00:00"/>
    <s v="Ryan"/>
  </r>
  <r>
    <d v="2024-08-19T00:00:00"/>
    <x v="2"/>
    <x v="4"/>
    <n v="3"/>
    <n v="373.77"/>
    <s v="Store B"/>
    <x v="1"/>
    <n v="0.1"/>
    <x v="0"/>
    <n v="1009.179"/>
    <x v="4"/>
    <s v="WINTER15"/>
    <n v="1"/>
    <s v="REG101159"/>
    <s v="Cust 9705"/>
    <n v="17.62"/>
    <x v="363"/>
    <d v="2024-08-25T00:00:00"/>
    <s v="Ryan"/>
  </r>
  <r>
    <d v="2024-01-15T00:00:00"/>
    <x v="3"/>
    <x v="6"/>
    <n v="20"/>
    <n v="200.7"/>
    <s v="Store D"/>
    <x v="1"/>
    <n v="0.1"/>
    <x v="1"/>
    <n v="3612.6"/>
    <x v="0"/>
    <s v="FREESHIP"/>
    <n v="0"/>
    <s v="REG101160"/>
    <s v="Cust 3421"/>
    <n v="29.6"/>
    <x v="481"/>
    <d v="2024-01-19T00:00:00"/>
    <s v="Cameron"/>
  </r>
  <r>
    <d v="2024-08-08T00:00:00"/>
    <x v="3"/>
    <x v="2"/>
    <n v="14"/>
    <n v="115.77"/>
    <s v="Store B"/>
    <x v="0"/>
    <n v="0.15"/>
    <x v="2"/>
    <n v="1377.663"/>
    <x v="2"/>
    <s v="SAVE10"/>
    <n v="1"/>
    <s v="REG101161"/>
    <s v="Cust 1690"/>
    <n v="20.12"/>
    <x v="669"/>
    <d v="2024-08-11T00:00:00"/>
    <s v="Cameron"/>
  </r>
  <r>
    <d v="2024-10-05T00:00:00"/>
    <x v="4"/>
    <x v="1"/>
    <n v="12"/>
    <n v="535.41"/>
    <s v="Store C"/>
    <x v="1"/>
    <n v="0.1"/>
    <x v="2"/>
    <n v="5782.4279999999999"/>
    <x v="1"/>
    <m/>
    <n v="0"/>
    <s v="REG101162"/>
    <s v="Cust 2507"/>
    <n v="27.82"/>
    <x v="198"/>
    <d v="2024-10-07T00:00:00"/>
    <s v="Wendy"/>
  </r>
  <r>
    <d v="2024-01-13T00:00:00"/>
    <x v="1"/>
    <x v="2"/>
    <n v="12"/>
    <n v="103.59"/>
    <s v="Store A"/>
    <x v="1"/>
    <n v="0.1"/>
    <x v="2"/>
    <n v="1118.7719999999999"/>
    <x v="3"/>
    <s v="FREESHIP"/>
    <n v="0"/>
    <s v="REG101163"/>
    <s v="Cust 9880"/>
    <n v="48.11"/>
    <x v="576"/>
    <d v="2024-01-21T00:00:00"/>
    <s v="Sophie"/>
  </r>
  <r>
    <d v="2023-03-29T00:00:00"/>
    <x v="4"/>
    <x v="0"/>
    <n v="18"/>
    <n v="176.32"/>
    <s v="Store B"/>
    <x v="0"/>
    <n v="0.05"/>
    <x v="4"/>
    <n v="3015.0720000000001"/>
    <x v="3"/>
    <m/>
    <n v="0"/>
    <s v="REG101164"/>
    <s v="Cust 3972"/>
    <n v="36.35"/>
    <x v="88"/>
    <d v="2023-04-04T00:00:00"/>
    <s v="Wendy"/>
  </r>
  <r>
    <d v="2023-10-19T00:00:00"/>
    <x v="2"/>
    <x v="6"/>
    <n v="5"/>
    <n v="112.44"/>
    <s v="Store D"/>
    <x v="1"/>
    <n v="0.1"/>
    <x v="5"/>
    <n v="505.98000000000008"/>
    <x v="2"/>
    <m/>
    <n v="1"/>
    <s v="REG101165"/>
    <s v="Cust 8280"/>
    <n v="7.46"/>
    <x v="544"/>
    <d v="2023-10-23T00:00:00"/>
    <s v="Ryan"/>
  </r>
  <r>
    <d v="2023-10-23T00:00:00"/>
    <x v="4"/>
    <x v="3"/>
    <n v="20"/>
    <n v="19.3"/>
    <s v="Store C"/>
    <x v="0"/>
    <n v="0"/>
    <x v="5"/>
    <n v="386"/>
    <x v="3"/>
    <s v="SAVE10"/>
    <n v="0"/>
    <s v="REG101166"/>
    <s v="Cust 4205"/>
    <n v="47.23"/>
    <x v="25"/>
    <d v="2023-11-01T00:00:00"/>
    <s v="Wendy"/>
  </r>
  <r>
    <d v="2023-03-24T00:00:00"/>
    <x v="1"/>
    <x v="1"/>
    <n v="9"/>
    <n v="233.11"/>
    <s v="Store B"/>
    <x v="1"/>
    <n v="0.05"/>
    <x v="0"/>
    <n v="1993.0905"/>
    <x v="3"/>
    <s v="WINTER15"/>
    <n v="0"/>
    <s v="REG101167"/>
    <s v="Cust 2579"/>
    <n v="31.43"/>
    <x v="601"/>
    <d v="2023-03-28T00:00:00"/>
    <s v="Sophie"/>
  </r>
  <r>
    <d v="2024-08-09T00:00:00"/>
    <x v="4"/>
    <x v="6"/>
    <n v="17"/>
    <n v="66.48"/>
    <s v="Store C"/>
    <x v="0"/>
    <n v="0.15"/>
    <x v="0"/>
    <n v="960.63600000000008"/>
    <x v="1"/>
    <s v="WINTER15"/>
    <n v="1"/>
    <s v="REG101168"/>
    <s v="Cust 7265"/>
    <n v="10.79"/>
    <x v="649"/>
    <d v="2024-08-14T00:00:00"/>
    <s v="Wendy"/>
  </r>
  <r>
    <d v="2023-04-26T00:00:00"/>
    <x v="1"/>
    <x v="0"/>
    <n v="17"/>
    <n v="504.63"/>
    <s v="Store A"/>
    <x v="0"/>
    <n v="0.1"/>
    <x v="3"/>
    <n v="7720.838999999999"/>
    <x v="0"/>
    <s v="WINTER15"/>
    <n v="1"/>
    <s v="REG101169"/>
    <s v="Cust 1199"/>
    <n v="48.33"/>
    <x v="394"/>
    <d v="2023-05-06T00:00:00"/>
    <s v="Sophie"/>
  </r>
  <r>
    <d v="2024-03-04T00:00:00"/>
    <x v="4"/>
    <x v="5"/>
    <n v="11"/>
    <n v="97.84"/>
    <s v="Store B"/>
    <x v="1"/>
    <n v="0.05"/>
    <x v="1"/>
    <n v="1022.428"/>
    <x v="3"/>
    <s v="SAVE10"/>
    <n v="1"/>
    <s v="REG101170"/>
    <s v="Cust 2928"/>
    <n v="45.97"/>
    <x v="615"/>
    <d v="2024-03-12T00:00:00"/>
    <s v="Wendy"/>
  </r>
  <r>
    <d v="2023-02-14T00:00:00"/>
    <x v="0"/>
    <x v="5"/>
    <n v="7"/>
    <n v="468.14"/>
    <s v="Store A"/>
    <x v="1"/>
    <n v="0.15"/>
    <x v="5"/>
    <n v="2785.433"/>
    <x v="4"/>
    <s v="SAVE10"/>
    <n v="0"/>
    <s v="REG101171"/>
    <s v="Cust 9447"/>
    <n v="47.56"/>
    <x v="169"/>
    <d v="2023-02-17T00:00:00"/>
    <s v="Eric"/>
  </r>
  <r>
    <d v="2023-04-28T00:00:00"/>
    <x v="4"/>
    <x v="5"/>
    <n v="20"/>
    <n v="476.69"/>
    <s v="Store B"/>
    <x v="0"/>
    <n v="0.05"/>
    <x v="5"/>
    <n v="9057.1099999999988"/>
    <x v="0"/>
    <s v="WINTER15"/>
    <n v="0"/>
    <s v="REG101172"/>
    <s v="Cust 9095"/>
    <n v="10.199999999999999"/>
    <x v="266"/>
    <d v="2023-05-03T00:00:00"/>
    <s v="Wendy"/>
  </r>
  <r>
    <d v="2024-03-03T00:00:00"/>
    <x v="2"/>
    <x v="1"/>
    <n v="2"/>
    <n v="160.72999999999999"/>
    <s v="Store A"/>
    <x v="0"/>
    <n v="0.15"/>
    <x v="2"/>
    <n v="273.24099999999999"/>
    <x v="4"/>
    <s v="FREESHIP"/>
    <n v="0"/>
    <s v="REG101173"/>
    <s v="Cust 7587"/>
    <n v="20.18"/>
    <x v="69"/>
    <d v="2024-03-11T00:00:00"/>
    <s v="Ryan"/>
  </r>
  <r>
    <d v="2024-09-04T00:00:00"/>
    <x v="4"/>
    <x v="5"/>
    <n v="9"/>
    <n v="228.98"/>
    <s v="Store D"/>
    <x v="1"/>
    <n v="0.15"/>
    <x v="2"/>
    <n v="1751.6969999999999"/>
    <x v="0"/>
    <s v="WINTER15"/>
    <n v="0"/>
    <s v="REG101174"/>
    <s v="Cust 2611"/>
    <n v="45.79"/>
    <x v="670"/>
    <d v="2024-09-08T00:00:00"/>
    <s v="Wendy"/>
  </r>
  <r>
    <d v="2024-12-30T00:00:00"/>
    <x v="0"/>
    <x v="5"/>
    <n v="19"/>
    <n v="336.5"/>
    <s v="Store B"/>
    <x v="0"/>
    <n v="0"/>
    <x v="1"/>
    <n v="6393.5"/>
    <x v="0"/>
    <s v="WINTER15"/>
    <n v="0"/>
    <s v="REG101175"/>
    <s v="Cust 8284"/>
    <n v="27.43"/>
    <x v="671"/>
    <d v="2025-01-07T00:00:00"/>
    <s v="Eric"/>
  </r>
  <r>
    <d v="2024-02-10T00:00:00"/>
    <x v="0"/>
    <x v="6"/>
    <n v="18"/>
    <n v="411.59"/>
    <s v="Store A"/>
    <x v="0"/>
    <n v="0"/>
    <x v="5"/>
    <n v="7408.62"/>
    <x v="2"/>
    <s v="WINTER15"/>
    <n v="0"/>
    <s v="REG101176"/>
    <s v="Cust 8154"/>
    <n v="9.6199999999999992"/>
    <x v="672"/>
    <d v="2024-02-16T00:00:00"/>
    <s v="Eric"/>
  </r>
  <r>
    <d v="2023-09-07T00:00:00"/>
    <x v="3"/>
    <x v="6"/>
    <n v="1"/>
    <n v="431.49"/>
    <s v="Store C"/>
    <x v="0"/>
    <n v="0.15"/>
    <x v="1"/>
    <n v="366.76650000000001"/>
    <x v="4"/>
    <s v="SAVE10"/>
    <n v="0"/>
    <s v="REG101177"/>
    <s v="Cust 5215"/>
    <n v="17.53"/>
    <x v="288"/>
    <d v="2023-09-15T00:00:00"/>
    <s v="Cameron"/>
  </r>
  <r>
    <d v="2023-08-11T00:00:00"/>
    <x v="0"/>
    <x v="0"/>
    <n v="18"/>
    <n v="495.39"/>
    <s v="Store A"/>
    <x v="0"/>
    <n v="0"/>
    <x v="3"/>
    <n v="8917.02"/>
    <x v="1"/>
    <s v="SAVE10"/>
    <n v="0"/>
    <s v="REG101178"/>
    <s v="Cust 5309"/>
    <n v="14.88"/>
    <x v="673"/>
    <d v="2023-08-15T00:00:00"/>
    <s v="Eric"/>
  </r>
  <r>
    <d v="2023-03-12T00:00:00"/>
    <x v="4"/>
    <x v="1"/>
    <n v="4"/>
    <n v="149.30000000000001"/>
    <s v="Store A"/>
    <x v="0"/>
    <n v="0.1"/>
    <x v="4"/>
    <n v="537.48"/>
    <x v="3"/>
    <s v="FREESHIP"/>
    <n v="0"/>
    <s v="REG101179"/>
    <s v="Cust 2016"/>
    <n v="47.84"/>
    <x v="504"/>
    <d v="2023-03-16T00:00:00"/>
    <s v="Wendy"/>
  </r>
  <r>
    <d v="2023-03-29T00:00:00"/>
    <x v="3"/>
    <x v="2"/>
    <n v="18"/>
    <n v="179.97"/>
    <s v="Store C"/>
    <x v="0"/>
    <n v="0.1"/>
    <x v="0"/>
    <n v="2915.5140000000001"/>
    <x v="4"/>
    <s v="SAVE10"/>
    <n v="0"/>
    <s v="REG101180"/>
    <s v="Cust 2676"/>
    <n v="22.15"/>
    <x v="88"/>
    <d v="2023-03-31T00:00:00"/>
    <s v="Cameron"/>
  </r>
  <r>
    <d v="2025-02-17T00:00:00"/>
    <x v="1"/>
    <x v="3"/>
    <n v="11"/>
    <n v="381.14"/>
    <s v="Store B"/>
    <x v="1"/>
    <n v="0.05"/>
    <x v="2"/>
    <n v="3982.913"/>
    <x v="1"/>
    <s v="FREESHIP"/>
    <n v="0"/>
    <s v="REG101181"/>
    <s v="Cust 7529"/>
    <n v="32.83"/>
    <x v="130"/>
    <d v="2025-02-27T00:00:00"/>
    <s v="Sophie"/>
  </r>
  <r>
    <d v="2024-01-07T00:00:00"/>
    <x v="2"/>
    <x v="3"/>
    <n v="5"/>
    <n v="454.62"/>
    <s v="Store C"/>
    <x v="0"/>
    <n v="0.05"/>
    <x v="4"/>
    <n v="2159.4450000000002"/>
    <x v="1"/>
    <m/>
    <n v="0"/>
    <s v="REG101182"/>
    <s v="Cust 6172"/>
    <n v="10.19"/>
    <x v="674"/>
    <d v="2024-01-15T00:00:00"/>
    <s v="Ryan"/>
  </r>
  <r>
    <d v="2023-01-14T00:00:00"/>
    <x v="0"/>
    <x v="1"/>
    <n v="17"/>
    <n v="226.56"/>
    <s v="Store A"/>
    <x v="0"/>
    <n v="0.1"/>
    <x v="4"/>
    <n v="3466.3679999999999"/>
    <x v="1"/>
    <s v="WINTER15"/>
    <n v="1"/>
    <s v="REG101183"/>
    <s v="Cust 2527"/>
    <n v="36.89"/>
    <x v="675"/>
    <d v="2023-01-20T00:00:00"/>
    <s v="Eric"/>
  </r>
  <r>
    <d v="2024-01-03T00:00:00"/>
    <x v="4"/>
    <x v="0"/>
    <n v="2"/>
    <n v="132.91"/>
    <s v="Store A"/>
    <x v="0"/>
    <n v="0"/>
    <x v="5"/>
    <n v="265.82"/>
    <x v="3"/>
    <s v="WINTER15"/>
    <n v="0"/>
    <s v="REG101184"/>
    <s v="Cust 1970"/>
    <n v="7.76"/>
    <x v="150"/>
    <d v="2024-01-12T00:00:00"/>
    <s v="Wendy"/>
  </r>
  <r>
    <d v="2023-08-25T00:00:00"/>
    <x v="1"/>
    <x v="2"/>
    <n v="2"/>
    <n v="35.69"/>
    <s v="Store C"/>
    <x v="1"/>
    <n v="0"/>
    <x v="0"/>
    <n v="71.38"/>
    <x v="3"/>
    <s v="FREESHIP"/>
    <n v="0"/>
    <s v="REG101185"/>
    <s v="Cust 9543"/>
    <n v="39.89"/>
    <x v="294"/>
    <d v="2023-08-28T00:00:00"/>
    <s v="Sophie"/>
  </r>
  <r>
    <d v="2025-05-16T00:00:00"/>
    <x v="2"/>
    <x v="2"/>
    <n v="6"/>
    <n v="451.93"/>
    <s v="Store A"/>
    <x v="0"/>
    <n v="0.15"/>
    <x v="0"/>
    <n v="2304.8429999999998"/>
    <x v="4"/>
    <s v="WINTER15"/>
    <n v="1"/>
    <s v="REG101186"/>
    <s v="Cust 2957"/>
    <n v="49.37"/>
    <x v="120"/>
    <d v="2025-05-25T00:00:00"/>
    <s v="Ryan"/>
  </r>
  <r>
    <d v="2023-12-30T00:00:00"/>
    <x v="1"/>
    <x v="0"/>
    <n v="7"/>
    <n v="270.47000000000003"/>
    <s v="Store D"/>
    <x v="0"/>
    <n v="0.05"/>
    <x v="4"/>
    <n v="1798.6255000000001"/>
    <x v="2"/>
    <s v="WINTER15"/>
    <n v="1"/>
    <s v="REG101187"/>
    <s v="Cust 2852"/>
    <n v="41.56"/>
    <x v="479"/>
    <d v="2024-01-03T00:00:00"/>
    <s v="Sophie"/>
  </r>
  <r>
    <d v="2024-10-06T00:00:00"/>
    <x v="1"/>
    <x v="1"/>
    <n v="13"/>
    <n v="55.46"/>
    <s v="Store A"/>
    <x v="1"/>
    <n v="0.05"/>
    <x v="5"/>
    <n v="684.93100000000004"/>
    <x v="2"/>
    <s v="FREESHIP"/>
    <n v="1"/>
    <s v="REG101188"/>
    <s v="Cust 6365"/>
    <n v="18.010000000000002"/>
    <x v="676"/>
    <d v="2024-10-09T00:00:00"/>
    <s v="Sophie"/>
  </r>
  <r>
    <d v="2023-03-12T00:00:00"/>
    <x v="3"/>
    <x v="5"/>
    <n v="17"/>
    <n v="515.12"/>
    <s v="Store D"/>
    <x v="0"/>
    <n v="0.15"/>
    <x v="5"/>
    <n v="7443.4840000000004"/>
    <x v="2"/>
    <s v="SAVE10"/>
    <n v="1"/>
    <s v="REG101189"/>
    <s v="Cust 9159"/>
    <n v="32.74"/>
    <x v="504"/>
    <d v="2023-03-22T00:00:00"/>
    <s v="Cameron"/>
  </r>
  <r>
    <d v="2024-04-06T00:00:00"/>
    <x v="2"/>
    <x v="1"/>
    <n v="1"/>
    <n v="256.63"/>
    <s v="Store D"/>
    <x v="0"/>
    <n v="0"/>
    <x v="3"/>
    <n v="256.63"/>
    <x v="1"/>
    <s v="FREESHIP"/>
    <n v="0"/>
    <s v="REG101190"/>
    <s v="Cust 3252"/>
    <n v="12.97"/>
    <x v="419"/>
    <d v="2024-04-08T00:00:00"/>
    <s v="Ryan"/>
  </r>
  <r>
    <d v="2023-01-20T00:00:00"/>
    <x v="2"/>
    <x v="5"/>
    <n v="4"/>
    <n v="423.99"/>
    <s v="Store B"/>
    <x v="1"/>
    <n v="0.05"/>
    <x v="2"/>
    <n v="1611.162"/>
    <x v="0"/>
    <s v="FREESHIP"/>
    <n v="0"/>
    <s v="REG101191"/>
    <s v="Cust 8679"/>
    <n v="20.05"/>
    <x v="411"/>
    <d v="2023-01-25T00:00:00"/>
    <s v="Ryan"/>
  </r>
  <r>
    <d v="2024-07-08T00:00:00"/>
    <x v="4"/>
    <x v="0"/>
    <n v="15"/>
    <n v="77.89"/>
    <s v="Store B"/>
    <x v="0"/>
    <n v="0.05"/>
    <x v="4"/>
    <n v="1109.9324999999999"/>
    <x v="2"/>
    <m/>
    <n v="0"/>
    <s v="REG101192"/>
    <s v="Cust 5547"/>
    <n v="20.87"/>
    <x v="172"/>
    <d v="2024-07-12T00:00:00"/>
    <s v="Wendy"/>
  </r>
  <r>
    <d v="2023-10-06T00:00:00"/>
    <x v="2"/>
    <x v="1"/>
    <n v="12"/>
    <n v="11.95"/>
    <s v="Store A"/>
    <x v="1"/>
    <n v="0.05"/>
    <x v="3"/>
    <n v="136.22999999999999"/>
    <x v="0"/>
    <m/>
    <n v="0"/>
    <s v="REG101193"/>
    <s v="Cust 9438"/>
    <n v="26.66"/>
    <x v="677"/>
    <d v="2023-10-16T00:00:00"/>
    <s v="Ryan"/>
  </r>
  <r>
    <d v="2023-09-11T00:00:00"/>
    <x v="0"/>
    <x v="2"/>
    <n v="7"/>
    <n v="67.05"/>
    <s v="Store D"/>
    <x v="0"/>
    <n v="0.1"/>
    <x v="3"/>
    <n v="422.41500000000002"/>
    <x v="4"/>
    <s v="FREESHIP"/>
    <n v="0"/>
    <s v="REG101194"/>
    <s v="Cust 9092"/>
    <n v="36.67"/>
    <x v="471"/>
    <d v="2023-09-18T00:00:00"/>
    <s v="Eric"/>
  </r>
  <r>
    <d v="2023-09-14T00:00:00"/>
    <x v="2"/>
    <x v="1"/>
    <n v="19"/>
    <n v="118.15"/>
    <s v="Store C"/>
    <x v="1"/>
    <n v="0.15"/>
    <x v="2"/>
    <n v="1908.1224999999999"/>
    <x v="4"/>
    <s v="SAVE10"/>
    <n v="0"/>
    <s v="REG101195"/>
    <s v="Cust 7007"/>
    <n v="12.95"/>
    <x v="242"/>
    <d v="2023-09-19T00:00:00"/>
    <s v="Ryan"/>
  </r>
  <r>
    <d v="2023-11-06T00:00:00"/>
    <x v="2"/>
    <x v="6"/>
    <n v="16"/>
    <n v="114.47"/>
    <s v="Store B"/>
    <x v="0"/>
    <n v="0.15"/>
    <x v="3"/>
    <n v="1556.7919999999999"/>
    <x v="0"/>
    <m/>
    <n v="0"/>
    <s v="REG101196"/>
    <s v="Cust 3001"/>
    <n v="43.85"/>
    <x v="265"/>
    <d v="2023-11-11T00:00:00"/>
    <s v="Ryan"/>
  </r>
  <r>
    <d v="2024-06-23T00:00:00"/>
    <x v="2"/>
    <x v="4"/>
    <n v="9"/>
    <n v="36.21"/>
    <s v="Store C"/>
    <x v="0"/>
    <n v="0.15"/>
    <x v="5"/>
    <n v="277.00650000000002"/>
    <x v="2"/>
    <s v="FREESHIP"/>
    <n v="0"/>
    <s v="REG101197"/>
    <s v="Cust 5771"/>
    <n v="6.71"/>
    <x v="678"/>
    <d v="2024-06-30T00:00:00"/>
    <s v="Ryan"/>
  </r>
  <r>
    <d v="2023-03-30T00:00:00"/>
    <x v="4"/>
    <x v="6"/>
    <n v="10"/>
    <n v="52.58"/>
    <s v="Store B"/>
    <x v="0"/>
    <n v="0.1"/>
    <x v="0"/>
    <n v="473.22"/>
    <x v="4"/>
    <s v="WINTER15"/>
    <n v="0"/>
    <s v="REG101198"/>
    <s v="Cust 4317"/>
    <n v="14.01"/>
    <x v="306"/>
    <d v="2023-04-09T00:00:00"/>
    <s v="Wendy"/>
  </r>
  <r>
    <d v="2024-10-05T00:00:00"/>
    <x v="0"/>
    <x v="1"/>
    <n v="6"/>
    <n v="272.26"/>
    <s v="Store A"/>
    <x v="1"/>
    <n v="0.1"/>
    <x v="3"/>
    <n v="1470.204"/>
    <x v="3"/>
    <s v="SAVE10"/>
    <n v="0"/>
    <s v="REG101199"/>
    <s v="Cust 3627"/>
    <n v="43.67"/>
    <x v="198"/>
    <d v="2024-10-15T00:00:00"/>
    <s v="Eric"/>
  </r>
  <r>
    <d v="2023-03-19T00:00:00"/>
    <x v="3"/>
    <x v="3"/>
    <n v="10"/>
    <n v="124.97"/>
    <s v="Store D"/>
    <x v="1"/>
    <n v="0.15"/>
    <x v="0"/>
    <n v="1062.2449999999999"/>
    <x v="1"/>
    <s v="WINTER15"/>
    <n v="1"/>
    <s v="REG101200"/>
    <s v="Cust 4433"/>
    <n v="40.229999999999997"/>
    <x v="127"/>
    <d v="2023-03-29T00:00:00"/>
    <s v="Cameron"/>
  </r>
  <r>
    <d v="2025-03-17T00:00:00"/>
    <x v="2"/>
    <x v="1"/>
    <n v="9"/>
    <n v="228.62"/>
    <s v="Store C"/>
    <x v="1"/>
    <n v="0.05"/>
    <x v="0"/>
    <n v="1954.701"/>
    <x v="1"/>
    <s v="SAVE10"/>
    <n v="0"/>
    <s v="REG101201"/>
    <s v="Cust 6231"/>
    <n v="31.43"/>
    <x v="253"/>
    <d v="2025-03-21T00:00:00"/>
    <s v="Ryan"/>
  </r>
  <r>
    <d v="2024-12-18T00:00:00"/>
    <x v="3"/>
    <x v="0"/>
    <n v="20"/>
    <n v="282.91000000000003"/>
    <s v="Store A"/>
    <x v="0"/>
    <n v="0.15"/>
    <x v="2"/>
    <n v="4809.47"/>
    <x v="3"/>
    <s v="FREESHIP"/>
    <n v="0"/>
    <s v="REG101202"/>
    <s v="Cust 8987"/>
    <n v="8.19"/>
    <x v="227"/>
    <d v="2024-12-28T00:00:00"/>
    <s v="Cameron"/>
  </r>
  <r>
    <d v="2025-01-06T00:00:00"/>
    <x v="4"/>
    <x v="5"/>
    <n v="17"/>
    <n v="129.62"/>
    <s v="Store D"/>
    <x v="1"/>
    <n v="0.15"/>
    <x v="0"/>
    <n v="1873.009"/>
    <x v="0"/>
    <s v="FREESHIP"/>
    <n v="0"/>
    <s v="REG101203"/>
    <s v="Cust 4510"/>
    <n v="24.28"/>
    <x v="428"/>
    <d v="2025-01-08T00:00:00"/>
    <s v="Wendy"/>
  </r>
  <r>
    <d v="2025-01-14T00:00:00"/>
    <x v="3"/>
    <x v="4"/>
    <n v="6"/>
    <n v="162.35"/>
    <s v="Store B"/>
    <x v="0"/>
    <n v="0.05"/>
    <x v="0"/>
    <n v="925.39499999999987"/>
    <x v="2"/>
    <s v="SAVE10"/>
    <n v="1"/>
    <s v="REG101204"/>
    <s v="Cust 7003"/>
    <n v="19.18"/>
    <x v="679"/>
    <d v="2025-01-20T00:00:00"/>
    <s v="Cameron"/>
  </r>
  <r>
    <d v="2023-01-26T00:00:00"/>
    <x v="1"/>
    <x v="6"/>
    <n v="14"/>
    <n v="209.82"/>
    <s v="Store B"/>
    <x v="0"/>
    <n v="0"/>
    <x v="0"/>
    <n v="2937.48"/>
    <x v="4"/>
    <s v="SAVE10"/>
    <n v="0"/>
    <s v="REG101205"/>
    <s v="Cust 6546"/>
    <n v="36.11"/>
    <x v="592"/>
    <d v="2023-01-30T00:00:00"/>
    <s v="Sophie"/>
  </r>
  <r>
    <d v="2024-08-04T00:00:00"/>
    <x v="2"/>
    <x v="0"/>
    <n v="16"/>
    <n v="293.44"/>
    <s v="Store D"/>
    <x v="0"/>
    <n v="0.05"/>
    <x v="4"/>
    <n v="4460.2879999999996"/>
    <x v="1"/>
    <s v="SAVE10"/>
    <n v="0"/>
    <s v="REG101206"/>
    <s v="Cust 2951"/>
    <n v="42.56"/>
    <x v="270"/>
    <d v="2024-08-14T00:00:00"/>
    <s v="Ryan"/>
  </r>
  <r>
    <d v="2024-02-13T00:00:00"/>
    <x v="2"/>
    <x v="1"/>
    <n v="11"/>
    <n v="185.52"/>
    <s v="Store D"/>
    <x v="0"/>
    <n v="0.15"/>
    <x v="4"/>
    <n v="1734.6120000000001"/>
    <x v="2"/>
    <s v="WINTER15"/>
    <n v="0"/>
    <s v="REG101207"/>
    <s v="Cust 4673"/>
    <n v="38.53"/>
    <x v="30"/>
    <d v="2024-02-16T00:00:00"/>
    <s v="Ryan"/>
  </r>
  <r>
    <d v="2023-02-11T00:00:00"/>
    <x v="3"/>
    <x v="2"/>
    <n v="18"/>
    <n v="268.38"/>
    <s v="Store D"/>
    <x v="0"/>
    <n v="0.15"/>
    <x v="1"/>
    <n v="4106.2139999999999"/>
    <x v="4"/>
    <s v="FREESHIP"/>
    <n v="0"/>
    <s v="REG101208"/>
    <s v="Cust 5988"/>
    <n v="48.38"/>
    <x v="70"/>
    <d v="2023-02-14T00:00:00"/>
    <s v="Cameron"/>
  </r>
  <r>
    <d v="2024-06-17T00:00:00"/>
    <x v="0"/>
    <x v="6"/>
    <n v="18"/>
    <n v="547.04999999999995"/>
    <s v="Store C"/>
    <x v="0"/>
    <n v="0.1"/>
    <x v="3"/>
    <n v="8862.2099999999991"/>
    <x v="4"/>
    <s v="FREESHIP"/>
    <n v="0"/>
    <s v="REG101209"/>
    <s v="Cust 3922"/>
    <n v="10.99"/>
    <x v="545"/>
    <d v="2024-06-22T00:00:00"/>
    <s v="Eric"/>
  </r>
  <r>
    <d v="2024-06-06T00:00:00"/>
    <x v="1"/>
    <x v="0"/>
    <n v="1"/>
    <n v="354.21"/>
    <s v="Store A"/>
    <x v="0"/>
    <n v="0.15"/>
    <x v="3"/>
    <n v="301.07850000000002"/>
    <x v="0"/>
    <m/>
    <n v="0"/>
    <s v="REG101210"/>
    <s v="Cust 9853"/>
    <n v="26.16"/>
    <x v="566"/>
    <d v="2024-06-12T00:00:00"/>
    <s v="Sophie"/>
  </r>
  <r>
    <d v="2023-11-26T00:00:00"/>
    <x v="1"/>
    <x v="3"/>
    <n v="18"/>
    <n v="250.93"/>
    <s v="Store C"/>
    <x v="0"/>
    <n v="0.05"/>
    <x v="5"/>
    <n v="4290.9029999999993"/>
    <x v="1"/>
    <m/>
    <n v="0"/>
    <s v="REG101211"/>
    <s v="Cust 6168"/>
    <n v="47.67"/>
    <x v="168"/>
    <d v="2023-12-02T00:00:00"/>
    <s v="Sophie"/>
  </r>
  <r>
    <d v="2024-04-07T00:00:00"/>
    <x v="4"/>
    <x v="6"/>
    <n v="18"/>
    <n v="587.25"/>
    <s v="Store C"/>
    <x v="0"/>
    <n v="0.15"/>
    <x v="3"/>
    <n v="8984.9249999999993"/>
    <x v="0"/>
    <m/>
    <n v="0"/>
    <s v="REG101212"/>
    <s v="Cust 3175"/>
    <n v="42.15"/>
    <x v="680"/>
    <d v="2024-04-09T00:00:00"/>
    <s v="Wendy"/>
  </r>
  <r>
    <d v="2023-02-03T00:00:00"/>
    <x v="4"/>
    <x v="2"/>
    <n v="2"/>
    <n v="438.06"/>
    <s v="Store B"/>
    <x v="1"/>
    <n v="0"/>
    <x v="2"/>
    <n v="876.12"/>
    <x v="0"/>
    <s v="FREESHIP"/>
    <n v="1"/>
    <s v="REG101213"/>
    <s v="Cust 1813"/>
    <n v="12.9"/>
    <x v="151"/>
    <d v="2023-02-09T00:00:00"/>
    <s v="Wendy"/>
  </r>
  <r>
    <d v="2024-11-25T00:00:00"/>
    <x v="0"/>
    <x v="3"/>
    <n v="14"/>
    <n v="6.1"/>
    <s v="Store C"/>
    <x v="0"/>
    <n v="0.15"/>
    <x v="3"/>
    <n v="72.589999999999989"/>
    <x v="0"/>
    <s v="FREESHIP"/>
    <n v="1"/>
    <s v="REG101214"/>
    <s v="Cust 7749"/>
    <n v="10.18"/>
    <x v="681"/>
    <d v="2024-11-30T00:00:00"/>
    <s v="Eric"/>
  </r>
  <r>
    <d v="2024-06-30T00:00:00"/>
    <x v="2"/>
    <x v="0"/>
    <n v="2"/>
    <n v="80.14"/>
    <s v="Store D"/>
    <x v="0"/>
    <n v="0"/>
    <x v="3"/>
    <n v="160.28"/>
    <x v="0"/>
    <s v="FREESHIP"/>
    <n v="1"/>
    <s v="REG101215"/>
    <s v="Cust 3416"/>
    <n v="13.41"/>
    <x v="261"/>
    <d v="2024-07-03T00:00:00"/>
    <s v="Ryan"/>
  </r>
  <r>
    <d v="2023-08-02T00:00:00"/>
    <x v="1"/>
    <x v="0"/>
    <n v="11"/>
    <n v="66.97"/>
    <s v="Store A"/>
    <x v="1"/>
    <n v="0.15"/>
    <x v="5"/>
    <n v="626.16949999999997"/>
    <x v="1"/>
    <s v="FREESHIP"/>
    <n v="1"/>
    <s v="REG101216"/>
    <s v="Cust 7066"/>
    <n v="20.350000000000001"/>
    <x v="562"/>
    <d v="2023-08-11T00:00:00"/>
    <s v="Sophie"/>
  </r>
  <r>
    <d v="2024-02-22T00:00:00"/>
    <x v="1"/>
    <x v="3"/>
    <n v="6"/>
    <n v="181.34"/>
    <s v="Store A"/>
    <x v="0"/>
    <n v="0"/>
    <x v="1"/>
    <n v="1088.04"/>
    <x v="4"/>
    <s v="FREESHIP"/>
    <n v="0"/>
    <s v="REG101217"/>
    <s v="Cust 5180"/>
    <n v="27.65"/>
    <x v="193"/>
    <d v="2024-02-27T00:00:00"/>
    <s v="Sophie"/>
  </r>
  <r>
    <d v="2024-11-29T00:00:00"/>
    <x v="2"/>
    <x v="4"/>
    <n v="15"/>
    <n v="570"/>
    <s v="Store D"/>
    <x v="0"/>
    <n v="0.05"/>
    <x v="2"/>
    <n v="8122.5"/>
    <x v="1"/>
    <m/>
    <n v="0"/>
    <s v="REG101218"/>
    <s v="Cust 6246"/>
    <n v="7.62"/>
    <x v="682"/>
    <d v="2024-12-09T00:00:00"/>
    <s v="Ryan"/>
  </r>
  <r>
    <d v="2023-07-21T00:00:00"/>
    <x v="2"/>
    <x v="4"/>
    <n v="9"/>
    <n v="587.79"/>
    <s v="Store D"/>
    <x v="0"/>
    <n v="0.15"/>
    <x v="5"/>
    <n v="4496.5934999999999"/>
    <x v="0"/>
    <m/>
    <n v="0"/>
    <s v="REG101219"/>
    <s v="Cust 4182"/>
    <n v="24.64"/>
    <x v="12"/>
    <d v="2023-07-31T00:00:00"/>
    <s v="Ryan"/>
  </r>
  <r>
    <d v="2023-04-14T00:00:00"/>
    <x v="3"/>
    <x v="1"/>
    <n v="6"/>
    <n v="196.31"/>
    <s v="Store C"/>
    <x v="1"/>
    <n v="0.1"/>
    <x v="3"/>
    <n v="1060.0740000000001"/>
    <x v="0"/>
    <s v="WINTER15"/>
    <n v="0"/>
    <s v="REG101220"/>
    <s v="Cust 6843"/>
    <n v="38.65"/>
    <x v="271"/>
    <d v="2023-04-17T00:00:00"/>
    <s v="Cameron"/>
  </r>
  <r>
    <d v="2023-02-01T00:00:00"/>
    <x v="2"/>
    <x v="1"/>
    <n v="8"/>
    <n v="430.06"/>
    <s v="Store B"/>
    <x v="0"/>
    <n v="0.05"/>
    <x v="5"/>
    <n v="3268.4560000000001"/>
    <x v="3"/>
    <s v="SAVE10"/>
    <n v="0"/>
    <s v="REG101221"/>
    <s v="Cust 6844"/>
    <n v="38.450000000000003"/>
    <x v="307"/>
    <d v="2023-02-05T00:00:00"/>
    <s v="Ryan"/>
  </r>
  <r>
    <d v="2024-06-30T00:00:00"/>
    <x v="0"/>
    <x v="4"/>
    <n v="14"/>
    <n v="429.72"/>
    <s v="Store A"/>
    <x v="1"/>
    <n v="0.1"/>
    <x v="0"/>
    <n v="5414.4719999999998"/>
    <x v="4"/>
    <s v="SAVE10"/>
    <n v="0"/>
    <s v="REG101222"/>
    <s v="Cust 3248"/>
    <n v="45.78"/>
    <x v="261"/>
    <d v="2024-07-05T00:00:00"/>
    <s v="Eric"/>
  </r>
  <r>
    <d v="2023-10-18T00:00:00"/>
    <x v="3"/>
    <x v="1"/>
    <n v="13"/>
    <n v="127.34"/>
    <s v="Store D"/>
    <x v="0"/>
    <n v="0"/>
    <x v="1"/>
    <n v="1655.42"/>
    <x v="2"/>
    <s v="WINTER15"/>
    <n v="0"/>
    <s v="REG101223"/>
    <s v="Cust 5226"/>
    <n v="6.15"/>
    <x v="90"/>
    <d v="2023-10-21T00:00:00"/>
    <s v="Cameron"/>
  </r>
  <r>
    <d v="2024-07-04T00:00:00"/>
    <x v="0"/>
    <x v="4"/>
    <n v="6"/>
    <n v="421.97"/>
    <s v="Store B"/>
    <x v="0"/>
    <n v="0.05"/>
    <x v="5"/>
    <n v="2405.2289999999998"/>
    <x v="4"/>
    <s v="WINTER15"/>
    <n v="0"/>
    <s v="REG101224"/>
    <s v="Cust 9804"/>
    <n v="41.31"/>
    <x v="532"/>
    <d v="2024-07-13T00:00:00"/>
    <s v="Eric"/>
  </r>
  <r>
    <d v="2024-07-04T00:00:00"/>
    <x v="0"/>
    <x v="5"/>
    <n v="5"/>
    <n v="225.69"/>
    <s v="Store A"/>
    <x v="0"/>
    <n v="0.15"/>
    <x v="3"/>
    <n v="959.1825"/>
    <x v="1"/>
    <s v="WINTER15"/>
    <n v="0"/>
    <s v="REG101225"/>
    <s v="Cust 3990"/>
    <n v="47.6"/>
    <x v="532"/>
    <d v="2024-07-12T00:00:00"/>
    <s v="Eric"/>
  </r>
  <r>
    <d v="2023-07-27T00:00:00"/>
    <x v="2"/>
    <x v="4"/>
    <n v="10"/>
    <n v="322.11"/>
    <s v="Store A"/>
    <x v="1"/>
    <n v="0.15"/>
    <x v="4"/>
    <n v="2737.9349999999999"/>
    <x v="3"/>
    <s v="WINTER15"/>
    <n v="0"/>
    <s v="REG101226"/>
    <s v="Cust 5106"/>
    <n v="28.72"/>
    <x v="74"/>
    <d v="2023-08-02T00:00:00"/>
    <s v="Ryan"/>
  </r>
  <r>
    <d v="2025-03-01T00:00:00"/>
    <x v="4"/>
    <x v="2"/>
    <n v="4"/>
    <n v="209.3"/>
    <s v="Store B"/>
    <x v="1"/>
    <n v="0.05"/>
    <x v="1"/>
    <n v="795.34"/>
    <x v="1"/>
    <m/>
    <n v="0"/>
    <s v="REG101227"/>
    <s v="Cust 3448"/>
    <n v="6.89"/>
    <x v="89"/>
    <d v="2025-03-06T00:00:00"/>
    <s v="Wendy"/>
  </r>
  <r>
    <d v="2023-02-23T00:00:00"/>
    <x v="3"/>
    <x v="2"/>
    <n v="16"/>
    <n v="326.16000000000003"/>
    <s v="Store C"/>
    <x v="0"/>
    <n v="0.1"/>
    <x v="2"/>
    <n v="4696.7040000000006"/>
    <x v="2"/>
    <m/>
    <n v="0"/>
    <s v="REG101228"/>
    <s v="Cust 1439"/>
    <n v="44.3"/>
    <x v="0"/>
    <d v="2023-02-25T00:00:00"/>
    <s v="Cameron"/>
  </r>
  <r>
    <d v="2023-01-11T00:00:00"/>
    <x v="0"/>
    <x v="4"/>
    <n v="13"/>
    <n v="515.41999999999996"/>
    <s v="Store D"/>
    <x v="1"/>
    <n v="0"/>
    <x v="5"/>
    <n v="6700.4599999999991"/>
    <x v="0"/>
    <s v="FREESHIP"/>
    <n v="0"/>
    <s v="REG101229"/>
    <s v="Cust 5342"/>
    <n v="43.37"/>
    <x v="6"/>
    <d v="2023-01-20T00:00:00"/>
    <s v="Eric"/>
  </r>
  <r>
    <d v="2024-04-16T00:00:00"/>
    <x v="4"/>
    <x v="5"/>
    <n v="7"/>
    <n v="129.83000000000001"/>
    <s v="Store A"/>
    <x v="0"/>
    <n v="0"/>
    <x v="3"/>
    <n v="908.81000000000006"/>
    <x v="1"/>
    <s v="WINTER15"/>
    <n v="0"/>
    <s v="REG101230"/>
    <s v="Cust 4564"/>
    <n v="13.12"/>
    <x v="683"/>
    <d v="2024-04-20T00:00:00"/>
    <s v="Wendy"/>
  </r>
  <r>
    <d v="2024-03-09T00:00:00"/>
    <x v="3"/>
    <x v="4"/>
    <n v="17"/>
    <n v="376.15"/>
    <s v="Store C"/>
    <x v="1"/>
    <n v="0.05"/>
    <x v="4"/>
    <n v="6074.8224999999993"/>
    <x v="1"/>
    <s v="WINTER15"/>
    <n v="1"/>
    <s v="REG101231"/>
    <s v="Cust 6441"/>
    <n v="31.96"/>
    <x v="542"/>
    <d v="2024-03-12T00:00:00"/>
    <s v="Cameron"/>
  </r>
  <r>
    <d v="2024-10-07T00:00:00"/>
    <x v="1"/>
    <x v="3"/>
    <n v="8"/>
    <n v="385.46"/>
    <s v="Store A"/>
    <x v="0"/>
    <n v="0"/>
    <x v="5"/>
    <n v="3083.68"/>
    <x v="4"/>
    <s v="SAVE10"/>
    <n v="0"/>
    <s v="REG101232"/>
    <s v="Cust 7591"/>
    <n v="8.89"/>
    <x v="263"/>
    <d v="2024-10-11T00:00:00"/>
    <s v="Sophie"/>
  </r>
  <r>
    <d v="2023-10-06T00:00:00"/>
    <x v="4"/>
    <x v="6"/>
    <n v="2"/>
    <n v="474.13"/>
    <s v="Store D"/>
    <x v="0"/>
    <n v="0"/>
    <x v="3"/>
    <n v="948.26"/>
    <x v="1"/>
    <s v="FREESHIP"/>
    <n v="1"/>
    <s v="REG101233"/>
    <s v="Cust 9778"/>
    <n v="14.41"/>
    <x v="677"/>
    <d v="2023-10-15T00:00:00"/>
    <s v="Wendy"/>
  </r>
  <r>
    <d v="2023-04-08T00:00:00"/>
    <x v="4"/>
    <x v="4"/>
    <n v="15"/>
    <n v="506.17"/>
    <s v="Store B"/>
    <x v="0"/>
    <n v="0.05"/>
    <x v="1"/>
    <n v="7212.9224999999997"/>
    <x v="0"/>
    <m/>
    <n v="0"/>
    <s v="REG101234"/>
    <s v="Cust 1195"/>
    <n v="41.73"/>
    <x v="684"/>
    <d v="2023-04-13T00:00:00"/>
    <s v="Wendy"/>
  </r>
  <r>
    <d v="2024-02-20T00:00:00"/>
    <x v="1"/>
    <x v="1"/>
    <n v="1"/>
    <n v="67.38"/>
    <s v="Store D"/>
    <x v="1"/>
    <n v="0.15"/>
    <x v="1"/>
    <n v="57.273000000000003"/>
    <x v="2"/>
    <s v="WINTER15"/>
    <n v="0"/>
    <s v="REG101235"/>
    <s v="Cust 8126"/>
    <n v="6.14"/>
    <x v="5"/>
    <d v="2024-02-27T00:00:00"/>
    <s v="Sophie"/>
  </r>
  <r>
    <d v="2023-01-30T00:00:00"/>
    <x v="4"/>
    <x v="3"/>
    <n v="15"/>
    <n v="274.3"/>
    <s v="Store B"/>
    <x v="1"/>
    <n v="0.15"/>
    <x v="2"/>
    <n v="3497.3249999999998"/>
    <x v="2"/>
    <m/>
    <n v="0"/>
    <s v="REG101236"/>
    <s v="Cust 4609"/>
    <n v="21.56"/>
    <x v="685"/>
    <d v="2023-02-08T00:00:00"/>
    <s v="Wendy"/>
  </r>
  <r>
    <d v="2023-05-12T00:00:00"/>
    <x v="1"/>
    <x v="4"/>
    <n v="2"/>
    <n v="334.48"/>
    <s v="Store B"/>
    <x v="0"/>
    <n v="0"/>
    <x v="1"/>
    <n v="668.96"/>
    <x v="3"/>
    <m/>
    <n v="0"/>
    <s v="REG101237"/>
    <s v="Cust 1449"/>
    <n v="31.53"/>
    <x v="551"/>
    <d v="2023-05-20T00:00:00"/>
    <s v="Sophie"/>
  </r>
  <r>
    <d v="2024-01-08T00:00:00"/>
    <x v="1"/>
    <x v="3"/>
    <n v="7"/>
    <n v="562.6"/>
    <s v="Store A"/>
    <x v="1"/>
    <n v="0.15"/>
    <x v="0"/>
    <n v="3347.47"/>
    <x v="0"/>
    <s v="WINTER15"/>
    <n v="0"/>
    <s v="REG101238"/>
    <s v="Cust 3508"/>
    <n v="19.95"/>
    <x v="590"/>
    <d v="2024-01-12T00:00:00"/>
    <s v="Sophie"/>
  </r>
  <r>
    <d v="2024-06-05T00:00:00"/>
    <x v="2"/>
    <x v="4"/>
    <n v="7"/>
    <n v="14.34"/>
    <s v="Store D"/>
    <x v="1"/>
    <n v="0.05"/>
    <x v="1"/>
    <n v="95.36099999999999"/>
    <x v="3"/>
    <s v="WINTER15"/>
    <n v="0"/>
    <s v="REG101239"/>
    <s v="Cust 4826"/>
    <n v="19.45"/>
    <x v="410"/>
    <d v="2024-06-08T00:00:00"/>
    <s v="Ryan"/>
  </r>
  <r>
    <d v="2025-05-21T00:00:00"/>
    <x v="0"/>
    <x v="1"/>
    <n v="11"/>
    <n v="34.72"/>
    <s v="Store B"/>
    <x v="0"/>
    <n v="0.1"/>
    <x v="4"/>
    <n v="343.72800000000001"/>
    <x v="1"/>
    <s v="FREESHIP"/>
    <n v="0"/>
    <s v="REG101240"/>
    <s v="Cust 1232"/>
    <n v="9.31"/>
    <x v="83"/>
    <d v="2025-05-23T00:00:00"/>
    <s v="Eric"/>
  </r>
  <r>
    <d v="2025-05-21T00:00:00"/>
    <x v="0"/>
    <x v="3"/>
    <n v="7"/>
    <n v="15.06"/>
    <s v="Store A"/>
    <x v="1"/>
    <n v="0"/>
    <x v="1"/>
    <n v="105.42"/>
    <x v="4"/>
    <m/>
    <n v="1"/>
    <s v="REG101241"/>
    <s v="Cust 9675"/>
    <n v="46.57"/>
    <x v="83"/>
    <d v="2025-05-26T00:00:00"/>
    <s v="Eric"/>
  </r>
  <r>
    <d v="2023-03-05T00:00:00"/>
    <x v="0"/>
    <x v="6"/>
    <n v="11"/>
    <n v="488.17"/>
    <s v="Store B"/>
    <x v="0"/>
    <n v="0.05"/>
    <x v="5"/>
    <n v="5101.3764999999994"/>
    <x v="4"/>
    <s v="WINTER15"/>
    <n v="1"/>
    <s v="REG101242"/>
    <s v="Cust 5153"/>
    <n v="37.47"/>
    <x v="509"/>
    <d v="2023-03-11T00:00:00"/>
    <s v="Eric"/>
  </r>
  <r>
    <d v="2024-10-27T00:00:00"/>
    <x v="1"/>
    <x v="5"/>
    <n v="10"/>
    <n v="268.39"/>
    <s v="Store B"/>
    <x v="1"/>
    <n v="0.05"/>
    <x v="1"/>
    <n v="2549.704999999999"/>
    <x v="2"/>
    <s v="SAVE10"/>
    <n v="0"/>
    <s v="REG101243"/>
    <s v="Cust 6330"/>
    <n v="25.86"/>
    <x v="686"/>
    <d v="2024-11-02T00:00:00"/>
    <s v="Sophie"/>
  </r>
  <r>
    <d v="2025-03-24T00:00:00"/>
    <x v="2"/>
    <x v="5"/>
    <n v="5"/>
    <n v="64.180000000000007"/>
    <s v="Store C"/>
    <x v="1"/>
    <n v="0.1"/>
    <x v="0"/>
    <n v="288.81000000000012"/>
    <x v="1"/>
    <s v="SAVE10"/>
    <n v="0"/>
    <s v="REG101244"/>
    <s v="Cust 8277"/>
    <n v="21.17"/>
    <x v="687"/>
    <d v="2025-03-29T00:00:00"/>
    <s v="Ryan"/>
  </r>
  <r>
    <d v="2024-09-21T00:00:00"/>
    <x v="4"/>
    <x v="1"/>
    <n v="15"/>
    <n v="466.55"/>
    <s v="Store A"/>
    <x v="1"/>
    <n v="0.05"/>
    <x v="1"/>
    <n v="6648.3374999999996"/>
    <x v="4"/>
    <s v="SAVE10"/>
    <n v="1"/>
    <s v="REG101245"/>
    <s v="Cust 5884"/>
    <n v="36.68"/>
    <x v="367"/>
    <d v="2024-09-27T00:00:00"/>
    <s v="Wendy"/>
  </r>
  <r>
    <d v="2025-05-18T00:00:00"/>
    <x v="2"/>
    <x v="2"/>
    <n v="8"/>
    <n v="505.34"/>
    <s v="Store B"/>
    <x v="1"/>
    <n v="0.05"/>
    <x v="5"/>
    <n v="3840.5839999999998"/>
    <x v="3"/>
    <m/>
    <n v="0"/>
    <s v="REG101246"/>
    <s v="Cust 4061"/>
    <n v="22.88"/>
    <x v="662"/>
    <d v="2025-05-27T00:00:00"/>
    <s v="Ryan"/>
  </r>
  <r>
    <d v="2024-07-11T00:00:00"/>
    <x v="0"/>
    <x v="4"/>
    <n v="6"/>
    <n v="100.75"/>
    <s v="Store A"/>
    <x v="0"/>
    <n v="0.1"/>
    <x v="2"/>
    <n v="544.05000000000007"/>
    <x v="2"/>
    <s v="FREESHIP"/>
    <n v="0"/>
    <s v="REG101247"/>
    <s v="Cust 8095"/>
    <n v="12.98"/>
    <x v="156"/>
    <d v="2024-07-14T00:00:00"/>
    <s v="Eric"/>
  </r>
  <r>
    <d v="2025-01-27T00:00:00"/>
    <x v="2"/>
    <x v="5"/>
    <n v="8"/>
    <n v="352.72"/>
    <s v="Store C"/>
    <x v="1"/>
    <n v="0.05"/>
    <x v="3"/>
    <n v="2680.672"/>
    <x v="4"/>
    <m/>
    <n v="0"/>
    <s v="REG101248"/>
    <s v="Cust 2435"/>
    <n v="30.8"/>
    <x v="614"/>
    <d v="2025-02-04T00:00:00"/>
    <s v="Ryan"/>
  </r>
  <r>
    <d v="2023-11-26T00:00:00"/>
    <x v="0"/>
    <x v="0"/>
    <n v="9"/>
    <n v="526.26"/>
    <s v="Store B"/>
    <x v="1"/>
    <n v="0"/>
    <x v="5"/>
    <n v="4736.34"/>
    <x v="4"/>
    <s v="FREESHIP"/>
    <n v="0"/>
    <s v="REG101249"/>
    <s v="Cust 6785"/>
    <n v="15.47"/>
    <x v="168"/>
    <d v="2023-12-06T00:00:00"/>
    <s v="Eric"/>
  </r>
  <r>
    <d v="2024-06-02T00:00:00"/>
    <x v="3"/>
    <x v="6"/>
    <n v="18"/>
    <n v="519.41999999999996"/>
    <s v="Store C"/>
    <x v="1"/>
    <n v="0.15"/>
    <x v="0"/>
    <n v="7947.1259999999993"/>
    <x v="4"/>
    <s v="WINTER15"/>
    <n v="0"/>
    <s v="REG101250"/>
    <s v="Cust 6485"/>
    <n v="32.96"/>
    <x v="403"/>
    <d v="2024-06-04T00:00:00"/>
    <s v="Cameron"/>
  </r>
  <r>
    <d v="2023-01-17T00:00:00"/>
    <x v="2"/>
    <x v="3"/>
    <n v="18"/>
    <n v="108.46"/>
    <s v="Store D"/>
    <x v="0"/>
    <n v="0.05"/>
    <x v="2"/>
    <n v="1854.6659999999999"/>
    <x v="0"/>
    <s v="SAVE10"/>
    <n v="0"/>
    <s v="REG101251"/>
    <s v="Cust 6960"/>
    <n v="10.72"/>
    <x v="585"/>
    <d v="2023-01-24T00:00:00"/>
    <s v="Ryan"/>
  </r>
  <r>
    <d v="2025-05-03T00:00:00"/>
    <x v="2"/>
    <x v="2"/>
    <n v="13"/>
    <n v="420.68"/>
    <s v="Store D"/>
    <x v="0"/>
    <n v="0.05"/>
    <x v="2"/>
    <n v="5195.3980000000001"/>
    <x v="0"/>
    <m/>
    <n v="0"/>
    <s v="REG101252"/>
    <s v="Cust 1135"/>
    <n v="24.51"/>
    <x v="688"/>
    <d v="2025-05-11T00:00:00"/>
    <s v="Ryan"/>
  </r>
  <r>
    <d v="2025-01-05T00:00:00"/>
    <x v="2"/>
    <x v="6"/>
    <n v="17"/>
    <n v="5.91"/>
    <s v="Store A"/>
    <x v="0"/>
    <n v="0.15"/>
    <x v="0"/>
    <n v="85.399500000000003"/>
    <x v="0"/>
    <s v="SAVE10"/>
    <n v="0"/>
    <s v="REG101253"/>
    <s v="Cust 6186"/>
    <n v="44.85"/>
    <x v="689"/>
    <d v="2025-01-13T00:00:00"/>
    <s v="Ryan"/>
  </r>
  <r>
    <d v="2024-02-20T00:00:00"/>
    <x v="0"/>
    <x v="1"/>
    <n v="4"/>
    <n v="452.77"/>
    <s v="Store B"/>
    <x v="1"/>
    <n v="0"/>
    <x v="4"/>
    <n v="1811.08"/>
    <x v="3"/>
    <s v="SAVE10"/>
    <n v="0"/>
    <s v="REG101254"/>
    <s v="Cust 8828"/>
    <n v="32.01"/>
    <x v="5"/>
    <d v="2024-03-01T00:00:00"/>
    <s v="Eric"/>
  </r>
  <r>
    <d v="2023-12-26T00:00:00"/>
    <x v="2"/>
    <x v="4"/>
    <n v="7"/>
    <n v="157"/>
    <s v="Store A"/>
    <x v="0"/>
    <n v="0.15"/>
    <x v="1"/>
    <n v="934.15"/>
    <x v="0"/>
    <s v="SAVE10"/>
    <n v="1"/>
    <s v="REG101255"/>
    <s v="Cust 9097"/>
    <n v="39.72"/>
    <x v="442"/>
    <d v="2024-01-04T00:00:00"/>
    <s v="Ryan"/>
  </r>
  <r>
    <d v="2023-03-07T00:00:00"/>
    <x v="2"/>
    <x v="6"/>
    <n v="11"/>
    <n v="550.86"/>
    <s v="Store C"/>
    <x v="1"/>
    <n v="0.1"/>
    <x v="5"/>
    <n v="5453.5140000000001"/>
    <x v="0"/>
    <s v="FREESHIP"/>
    <n v="0"/>
    <s v="REG101256"/>
    <s v="Cust 4744"/>
    <n v="21.82"/>
    <x v="334"/>
    <d v="2023-03-12T00:00:00"/>
    <s v="Ryan"/>
  </r>
  <r>
    <d v="2024-09-13T00:00:00"/>
    <x v="2"/>
    <x v="3"/>
    <n v="5"/>
    <n v="172.65"/>
    <s v="Store C"/>
    <x v="0"/>
    <n v="0.15"/>
    <x v="1"/>
    <n v="733.76249999999993"/>
    <x v="4"/>
    <s v="SAVE10"/>
    <n v="0"/>
    <s v="REG101257"/>
    <s v="Cust 4287"/>
    <n v="28.3"/>
    <x v="277"/>
    <d v="2024-09-22T00:00:00"/>
    <s v="Ryan"/>
  </r>
  <r>
    <d v="2024-01-02T00:00:00"/>
    <x v="0"/>
    <x v="5"/>
    <n v="16"/>
    <n v="145.30000000000001"/>
    <s v="Store B"/>
    <x v="0"/>
    <n v="0"/>
    <x v="0"/>
    <n v="2324.8000000000002"/>
    <x v="2"/>
    <s v="FREESHIP"/>
    <n v="1"/>
    <s v="REG101258"/>
    <s v="Cust 2236"/>
    <n v="29.64"/>
    <x v="78"/>
    <d v="2024-01-12T00:00:00"/>
    <s v="Eric"/>
  </r>
  <r>
    <d v="2025-02-08T00:00:00"/>
    <x v="1"/>
    <x v="6"/>
    <n v="10"/>
    <n v="67.38"/>
    <s v="Store C"/>
    <x v="1"/>
    <n v="0.1"/>
    <x v="4"/>
    <n v="606.41999999999996"/>
    <x v="1"/>
    <s v="FREESHIP"/>
    <n v="1"/>
    <s v="REG101259"/>
    <s v="Cust 5312"/>
    <n v="20.58"/>
    <x v="658"/>
    <d v="2025-02-18T00:00:00"/>
    <s v="Sophie"/>
  </r>
  <r>
    <d v="2025-03-04T00:00:00"/>
    <x v="1"/>
    <x v="6"/>
    <n v="15"/>
    <n v="141.13"/>
    <s v="Store D"/>
    <x v="0"/>
    <n v="0"/>
    <x v="3"/>
    <n v="2116.9499999999998"/>
    <x v="4"/>
    <s v="SAVE10"/>
    <n v="0"/>
    <s v="REG101260"/>
    <s v="Cust 5096"/>
    <n v="19.63"/>
    <x v="155"/>
    <d v="2025-03-12T00:00:00"/>
    <s v="Sophie"/>
  </r>
  <r>
    <d v="2024-03-12T00:00:00"/>
    <x v="3"/>
    <x v="5"/>
    <n v="1"/>
    <n v="534.61"/>
    <s v="Store D"/>
    <x v="1"/>
    <n v="0.05"/>
    <x v="2"/>
    <n v="507.87950000000001"/>
    <x v="0"/>
    <s v="SAVE10"/>
    <n v="0"/>
    <s v="REG101261"/>
    <s v="Cust 1162"/>
    <n v="22.68"/>
    <x v="690"/>
    <d v="2024-03-21T00:00:00"/>
    <s v="Cameron"/>
  </r>
  <r>
    <d v="2024-07-03T00:00:00"/>
    <x v="0"/>
    <x v="1"/>
    <n v="9"/>
    <n v="560.04"/>
    <s v="Store D"/>
    <x v="1"/>
    <n v="0.05"/>
    <x v="3"/>
    <n v="4788.3419999999996"/>
    <x v="1"/>
    <s v="WINTER15"/>
    <n v="0"/>
    <s v="REG101262"/>
    <s v="Cust 1669"/>
    <n v="22.81"/>
    <x v="691"/>
    <d v="2024-07-07T00:00:00"/>
    <s v="Eric"/>
  </r>
  <r>
    <d v="2025-01-05T00:00:00"/>
    <x v="2"/>
    <x v="0"/>
    <n v="8"/>
    <n v="275.32"/>
    <s v="Store D"/>
    <x v="1"/>
    <n v="0.1"/>
    <x v="4"/>
    <n v="1982.3040000000001"/>
    <x v="4"/>
    <s v="SAVE10"/>
    <n v="0"/>
    <s v="REG101263"/>
    <s v="Cust 6213"/>
    <n v="18.260000000000002"/>
    <x v="689"/>
    <d v="2025-01-13T00:00:00"/>
    <s v="Ryan"/>
  </r>
  <r>
    <d v="2024-03-21T00:00:00"/>
    <x v="0"/>
    <x v="1"/>
    <n v="3"/>
    <n v="105.73"/>
    <s v="Store D"/>
    <x v="1"/>
    <n v="0.05"/>
    <x v="5"/>
    <n v="301.33049999999997"/>
    <x v="3"/>
    <s v="FREESHIP"/>
    <n v="1"/>
    <s v="REG101264"/>
    <s v="Cust 7659"/>
    <n v="12.12"/>
    <x v="58"/>
    <d v="2024-03-28T00:00:00"/>
    <s v="Eric"/>
  </r>
  <r>
    <d v="2025-03-28T00:00:00"/>
    <x v="3"/>
    <x v="4"/>
    <n v="15"/>
    <n v="568.80999999999995"/>
    <s v="Store D"/>
    <x v="1"/>
    <n v="0.1"/>
    <x v="2"/>
    <n v="7678.9349999999986"/>
    <x v="1"/>
    <m/>
    <n v="0"/>
    <s v="REG101265"/>
    <s v="Cust 2894"/>
    <n v="8.5399999999999991"/>
    <x v="136"/>
    <d v="2025-04-03T00:00:00"/>
    <s v="Cameron"/>
  </r>
  <r>
    <d v="2025-04-13T00:00:00"/>
    <x v="3"/>
    <x v="0"/>
    <n v="20"/>
    <n v="190.39"/>
    <s v="Store B"/>
    <x v="1"/>
    <n v="0.1"/>
    <x v="5"/>
    <n v="3427.02"/>
    <x v="1"/>
    <s v="SAVE10"/>
    <n v="0"/>
    <s v="REG101266"/>
    <s v="Cust 1457"/>
    <n v="49.93"/>
    <x v="91"/>
    <d v="2025-04-18T00:00:00"/>
    <s v="Cameron"/>
  </r>
  <r>
    <d v="2024-04-30T00:00:00"/>
    <x v="4"/>
    <x v="3"/>
    <n v="19"/>
    <n v="433.39"/>
    <s v="Store C"/>
    <x v="1"/>
    <n v="0.05"/>
    <x v="5"/>
    <n v="7822.6894999999986"/>
    <x v="0"/>
    <s v="WINTER15"/>
    <n v="0"/>
    <s v="REG101267"/>
    <s v="Cust 2410"/>
    <n v="7.59"/>
    <x v="401"/>
    <d v="2024-05-09T00:00:00"/>
    <s v="Wendy"/>
  </r>
  <r>
    <d v="2025-02-15T00:00:00"/>
    <x v="1"/>
    <x v="1"/>
    <n v="1"/>
    <n v="92.72"/>
    <s v="Store C"/>
    <x v="0"/>
    <n v="0.15"/>
    <x v="0"/>
    <n v="78.811999999999998"/>
    <x v="3"/>
    <s v="WINTER15"/>
    <n v="0"/>
    <s v="REG101268"/>
    <s v="Cust 4723"/>
    <n v="48.46"/>
    <x v="664"/>
    <d v="2025-02-19T00:00:00"/>
    <s v="Sophie"/>
  </r>
  <r>
    <d v="2025-02-18T00:00:00"/>
    <x v="4"/>
    <x v="0"/>
    <n v="1"/>
    <n v="263.27999999999997"/>
    <s v="Store D"/>
    <x v="0"/>
    <n v="0.1"/>
    <x v="0"/>
    <n v="236.952"/>
    <x v="2"/>
    <s v="SAVE10"/>
    <n v="0"/>
    <s v="REG101269"/>
    <s v="Cust 1586"/>
    <n v="36.28"/>
    <x v="616"/>
    <d v="2025-02-23T00:00:00"/>
    <s v="Wendy"/>
  </r>
  <r>
    <d v="2023-09-08T00:00:00"/>
    <x v="4"/>
    <x v="1"/>
    <n v="11"/>
    <n v="358.59"/>
    <s v="Store B"/>
    <x v="0"/>
    <n v="0"/>
    <x v="2"/>
    <n v="3944.49"/>
    <x v="2"/>
    <m/>
    <n v="0"/>
    <s v="REG101270"/>
    <s v="Cust 5049"/>
    <n v="29.19"/>
    <x v="247"/>
    <d v="2023-09-10T00:00:00"/>
    <s v="Wendy"/>
  </r>
  <r>
    <d v="2024-02-04T00:00:00"/>
    <x v="3"/>
    <x v="5"/>
    <n v="18"/>
    <n v="595.53"/>
    <s v="Store B"/>
    <x v="1"/>
    <n v="0"/>
    <x v="2"/>
    <n v="10719.54"/>
    <x v="4"/>
    <s v="WINTER15"/>
    <n v="0"/>
    <s v="REG101271"/>
    <s v="Cust 9534"/>
    <n v="42.91"/>
    <x v="692"/>
    <d v="2024-02-06T00:00:00"/>
    <s v="Cameron"/>
  </r>
  <r>
    <d v="2024-11-25T00:00:00"/>
    <x v="2"/>
    <x v="4"/>
    <n v="14"/>
    <n v="574.32000000000005"/>
    <s v="Store D"/>
    <x v="0"/>
    <n v="0.15"/>
    <x v="4"/>
    <n v="6834.4080000000004"/>
    <x v="2"/>
    <s v="SAVE10"/>
    <n v="0"/>
    <s v="REG101272"/>
    <s v="Cust 5693"/>
    <n v="12.07"/>
    <x v="681"/>
    <d v="2024-12-05T00:00:00"/>
    <s v="Ryan"/>
  </r>
  <r>
    <d v="2024-12-30T00:00:00"/>
    <x v="2"/>
    <x v="0"/>
    <n v="18"/>
    <n v="444.13"/>
    <s v="Store D"/>
    <x v="1"/>
    <n v="0"/>
    <x v="2"/>
    <n v="7994.34"/>
    <x v="4"/>
    <s v="SAVE10"/>
    <n v="0"/>
    <s v="REG101273"/>
    <s v="Cust 6950"/>
    <n v="5.41"/>
    <x v="671"/>
    <d v="2025-01-02T00:00:00"/>
    <s v="Ryan"/>
  </r>
  <r>
    <d v="2023-09-05T00:00:00"/>
    <x v="4"/>
    <x v="5"/>
    <n v="19"/>
    <n v="431.47"/>
    <s v="Store A"/>
    <x v="1"/>
    <n v="0.1"/>
    <x v="0"/>
    <n v="7378.1370000000006"/>
    <x v="1"/>
    <s v="WINTER15"/>
    <n v="0"/>
    <s v="REG101274"/>
    <s v="Cust 7098"/>
    <n v="49.23"/>
    <x v="569"/>
    <d v="2023-09-10T00:00:00"/>
    <s v="Wendy"/>
  </r>
  <r>
    <d v="2023-08-01T00:00:00"/>
    <x v="4"/>
    <x v="6"/>
    <n v="19"/>
    <n v="67.489999999999995"/>
    <s v="Store C"/>
    <x v="1"/>
    <n v="0"/>
    <x v="2"/>
    <n v="1282.31"/>
    <x v="3"/>
    <s v="SAVE10"/>
    <n v="0"/>
    <s v="REG101275"/>
    <s v="Cust 8300"/>
    <n v="32.04"/>
    <x v="588"/>
    <d v="2023-08-11T00:00:00"/>
    <s v="Wendy"/>
  </r>
  <r>
    <d v="2023-01-06T00:00:00"/>
    <x v="3"/>
    <x v="5"/>
    <n v="11"/>
    <n v="25.67"/>
    <s v="Store C"/>
    <x v="1"/>
    <n v="0.15"/>
    <x v="3"/>
    <n v="240.0145"/>
    <x v="2"/>
    <s v="SAVE10"/>
    <n v="0"/>
    <s v="REG101276"/>
    <s v="Cust 9557"/>
    <n v="30.12"/>
    <x v="463"/>
    <d v="2023-01-08T00:00:00"/>
    <s v="Cameron"/>
  </r>
  <r>
    <d v="2025-05-02T00:00:00"/>
    <x v="3"/>
    <x v="1"/>
    <n v="4"/>
    <n v="368.69"/>
    <s v="Store D"/>
    <x v="0"/>
    <n v="0"/>
    <x v="4"/>
    <n v="1474.76"/>
    <x v="1"/>
    <s v="WINTER15"/>
    <n v="0"/>
    <s v="REG101277"/>
    <s v="Cust 8787"/>
    <n v="48.57"/>
    <x v="693"/>
    <d v="2025-05-06T00:00:00"/>
    <s v="Cameron"/>
  </r>
  <r>
    <d v="2023-12-21T00:00:00"/>
    <x v="4"/>
    <x v="4"/>
    <n v="7"/>
    <n v="257.01"/>
    <s v="Store D"/>
    <x v="1"/>
    <n v="0.05"/>
    <x v="0"/>
    <n v="1709.1165000000001"/>
    <x v="2"/>
    <m/>
    <n v="0"/>
    <s v="REG101278"/>
    <s v="Cust 9717"/>
    <n v="35.520000000000003"/>
    <x v="146"/>
    <d v="2023-12-28T00:00:00"/>
    <s v="Wendy"/>
  </r>
  <r>
    <d v="2024-09-10T00:00:00"/>
    <x v="0"/>
    <x v="0"/>
    <n v="14"/>
    <n v="85.54"/>
    <s v="Store B"/>
    <x v="0"/>
    <n v="0"/>
    <x v="2"/>
    <n v="1197.56"/>
    <x v="1"/>
    <s v="FREESHIP"/>
    <n v="0"/>
    <s v="REG101279"/>
    <s v="Cust 2719"/>
    <n v="16.079999999999998"/>
    <x v="328"/>
    <d v="2024-09-14T00:00:00"/>
    <s v="Eric"/>
  </r>
  <r>
    <d v="2024-04-05T00:00:00"/>
    <x v="3"/>
    <x v="3"/>
    <n v="9"/>
    <n v="267.60000000000002"/>
    <s v="Store D"/>
    <x v="1"/>
    <n v="0.15"/>
    <x v="0"/>
    <n v="2047.14"/>
    <x v="2"/>
    <s v="FREESHIP"/>
    <n v="0"/>
    <s v="REG101280"/>
    <s v="Cust 6203"/>
    <n v="8.48"/>
    <x v="393"/>
    <d v="2024-04-10T00:00:00"/>
    <s v="Cameron"/>
  </r>
  <r>
    <d v="2023-07-26T00:00:00"/>
    <x v="0"/>
    <x v="2"/>
    <n v="15"/>
    <n v="261.85000000000002"/>
    <s v="Store D"/>
    <x v="0"/>
    <n v="0.15"/>
    <x v="4"/>
    <n v="3338.5875000000001"/>
    <x v="0"/>
    <s v="SAVE10"/>
    <n v="0"/>
    <s v="REG101281"/>
    <s v="Cust 9151"/>
    <n v="40.68"/>
    <x v="238"/>
    <d v="2023-07-31T00:00:00"/>
    <s v="Eric"/>
  </r>
  <r>
    <d v="2023-11-12T00:00:00"/>
    <x v="0"/>
    <x v="6"/>
    <n v="11"/>
    <n v="199.57"/>
    <s v="Store A"/>
    <x v="1"/>
    <n v="0.05"/>
    <x v="5"/>
    <n v="2085.5065"/>
    <x v="3"/>
    <s v="SAVE10"/>
    <n v="0"/>
    <s v="REG101282"/>
    <s v="Cust 5096"/>
    <n v="48.94"/>
    <x v="694"/>
    <d v="2023-11-14T00:00:00"/>
    <s v="Eric"/>
  </r>
  <r>
    <d v="2025-04-18T00:00:00"/>
    <x v="3"/>
    <x v="1"/>
    <n v="5"/>
    <n v="504.96"/>
    <s v="Store C"/>
    <x v="1"/>
    <n v="0.05"/>
    <x v="4"/>
    <n v="2398.559999999999"/>
    <x v="1"/>
    <s v="FREESHIP"/>
    <n v="0"/>
    <s v="REG101283"/>
    <s v="Cust 4250"/>
    <n v="22.12"/>
    <x v="308"/>
    <d v="2025-04-20T00:00:00"/>
    <s v="Cameron"/>
  </r>
  <r>
    <d v="2023-08-12T00:00:00"/>
    <x v="1"/>
    <x v="3"/>
    <n v="8"/>
    <n v="28.34"/>
    <s v="Store C"/>
    <x v="0"/>
    <n v="0.05"/>
    <x v="1"/>
    <n v="215.38399999999999"/>
    <x v="4"/>
    <m/>
    <n v="1"/>
    <s v="REG101284"/>
    <s v="Cust 1276"/>
    <n v="23.19"/>
    <x v="181"/>
    <d v="2023-08-19T00:00:00"/>
    <s v="Sophie"/>
  </r>
  <r>
    <d v="2024-12-12T00:00:00"/>
    <x v="4"/>
    <x v="6"/>
    <n v="17"/>
    <n v="495.13"/>
    <s v="Store D"/>
    <x v="0"/>
    <n v="0.1"/>
    <x v="1"/>
    <n v="7575.4889999999996"/>
    <x v="0"/>
    <s v="FREESHIP"/>
    <n v="1"/>
    <s v="REG101285"/>
    <s v="Cust 6063"/>
    <n v="26.37"/>
    <x v="621"/>
    <d v="2024-12-21T00:00:00"/>
    <s v="Wendy"/>
  </r>
  <r>
    <d v="2025-05-07T00:00:00"/>
    <x v="4"/>
    <x v="1"/>
    <n v="14"/>
    <n v="142.05000000000001"/>
    <s v="Store D"/>
    <x v="1"/>
    <n v="0.05"/>
    <x v="2"/>
    <n v="1889.2650000000001"/>
    <x v="1"/>
    <s v="SAVE10"/>
    <n v="0"/>
    <s v="REG101286"/>
    <s v="Cust 7604"/>
    <n v="33.65"/>
    <x v="695"/>
    <d v="2025-05-13T00:00:00"/>
    <s v="Wendy"/>
  </r>
  <r>
    <d v="2025-03-10T00:00:00"/>
    <x v="0"/>
    <x v="3"/>
    <n v="16"/>
    <n v="504.36"/>
    <s v="Store D"/>
    <x v="0"/>
    <n v="0"/>
    <x v="5"/>
    <n v="8069.76"/>
    <x v="3"/>
    <m/>
    <n v="1"/>
    <s v="REG101287"/>
    <s v="Cust 9402"/>
    <n v="11.67"/>
    <x v="506"/>
    <d v="2025-03-13T00:00:00"/>
    <s v="Eric"/>
  </r>
  <r>
    <d v="2025-06-01T00:00:00"/>
    <x v="0"/>
    <x v="2"/>
    <n v="7"/>
    <n v="122.2"/>
    <s v="Store B"/>
    <x v="1"/>
    <n v="0"/>
    <x v="3"/>
    <n v="855.4"/>
    <x v="2"/>
    <m/>
    <n v="0"/>
    <s v="REG101288"/>
    <s v="Cust 4398"/>
    <n v="30.21"/>
    <x v="216"/>
    <d v="2025-06-10T00:00:00"/>
    <s v="Eric"/>
  </r>
  <r>
    <d v="2025-05-19T00:00:00"/>
    <x v="4"/>
    <x v="3"/>
    <n v="7"/>
    <n v="338.42"/>
    <s v="Store B"/>
    <x v="1"/>
    <n v="0.15"/>
    <x v="1"/>
    <n v="2013.5989999999999"/>
    <x v="0"/>
    <s v="FREESHIP"/>
    <n v="0"/>
    <s v="REG101289"/>
    <s v="Cust 8770"/>
    <n v="5.82"/>
    <x v="460"/>
    <d v="2025-05-21T00:00:00"/>
    <s v="Wendy"/>
  </r>
  <r>
    <d v="2023-02-08T00:00:00"/>
    <x v="0"/>
    <x v="5"/>
    <n v="4"/>
    <n v="224.75"/>
    <s v="Store D"/>
    <x v="0"/>
    <n v="0"/>
    <x v="2"/>
    <n v="899"/>
    <x v="3"/>
    <m/>
    <n v="0"/>
    <s v="REG101290"/>
    <s v="Cust 2148"/>
    <n v="43.86"/>
    <x v="162"/>
    <d v="2023-02-16T00:00:00"/>
    <s v="Eric"/>
  </r>
  <r>
    <d v="2025-04-24T00:00:00"/>
    <x v="3"/>
    <x v="2"/>
    <n v="16"/>
    <n v="509.71"/>
    <s v="Store C"/>
    <x v="0"/>
    <n v="0.1"/>
    <x v="3"/>
    <n v="7339.8239999999996"/>
    <x v="4"/>
    <m/>
    <n v="0"/>
    <s v="REG101291"/>
    <s v="Cust 4107"/>
    <n v="41.78"/>
    <x v="696"/>
    <d v="2025-05-03T00:00:00"/>
    <s v="Cameron"/>
  </r>
  <r>
    <d v="2024-09-01T00:00:00"/>
    <x v="2"/>
    <x v="5"/>
    <n v="14"/>
    <n v="297.56"/>
    <s v="Store B"/>
    <x v="0"/>
    <n v="0.1"/>
    <x v="4"/>
    <n v="3749.2559999999999"/>
    <x v="3"/>
    <s v="FREESHIP"/>
    <n v="0"/>
    <s v="REG101292"/>
    <s v="Cust 4450"/>
    <n v="31.44"/>
    <x v="404"/>
    <d v="2024-09-08T00:00:00"/>
    <s v="Ryan"/>
  </r>
  <r>
    <d v="2024-11-07T00:00:00"/>
    <x v="3"/>
    <x v="6"/>
    <n v="13"/>
    <n v="365.11"/>
    <s v="Store C"/>
    <x v="1"/>
    <n v="0.05"/>
    <x v="4"/>
    <n v="4509.1085000000003"/>
    <x v="0"/>
    <m/>
    <n v="0"/>
    <s v="REG101293"/>
    <s v="Cust 8233"/>
    <n v="13.97"/>
    <x v="697"/>
    <d v="2024-11-13T00:00:00"/>
    <s v="Cameron"/>
  </r>
  <r>
    <d v="2024-11-29T00:00:00"/>
    <x v="0"/>
    <x v="3"/>
    <n v="1"/>
    <n v="139.13"/>
    <s v="Store C"/>
    <x v="0"/>
    <n v="0"/>
    <x v="3"/>
    <n v="139.13"/>
    <x v="4"/>
    <m/>
    <n v="1"/>
    <s v="REG101294"/>
    <s v="Cust 9012"/>
    <n v="35.92"/>
    <x v="682"/>
    <d v="2024-12-02T00:00:00"/>
    <s v="Eric"/>
  </r>
  <r>
    <d v="2023-04-10T00:00:00"/>
    <x v="4"/>
    <x v="3"/>
    <n v="6"/>
    <n v="543.89"/>
    <s v="Store C"/>
    <x v="1"/>
    <n v="0"/>
    <x v="5"/>
    <n v="3263.34"/>
    <x v="4"/>
    <m/>
    <n v="1"/>
    <s v="REG101295"/>
    <s v="Cust 1496"/>
    <n v="13.19"/>
    <x v="154"/>
    <d v="2023-04-20T00:00:00"/>
    <s v="Wendy"/>
  </r>
  <r>
    <d v="2024-01-10T00:00:00"/>
    <x v="2"/>
    <x v="6"/>
    <n v="19"/>
    <n v="219.7"/>
    <s v="Store A"/>
    <x v="1"/>
    <n v="0"/>
    <x v="1"/>
    <n v="4174.3"/>
    <x v="4"/>
    <s v="FREESHIP"/>
    <n v="0"/>
    <s v="REG101296"/>
    <s v="Cust 9365"/>
    <n v="15.38"/>
    <x v="560"/>
    <d v="2024-01-16T00:00:00"/>
    <s v="Ryan"/>
  </r>
  <r>
    <d v="2025-05-17T00:00:00"/>
    <x v="1"/>
    <x v="1"/>
    <n v="6"/>
    <n v="94.34"/>
    <s v="Store C"/>
    <x v="1"/>
    <n v="0.05"/>
    <x v="1"/>
    <n v="537.73799999999994"/>
    <x v="4"/>
    <s v="WINTER15"/>
    <n v="1"/>
    <s v="REG101297"/>
    <s v="Cust 1392"/>
    <n v="49.26"/>
    <x v="347"/>
    <d v="2025-05-23T00:00:00"/>
    <s v="Sophie"/>
  </r>
  <r>
    <d v="2024-07-26T00:00:00"/>
    <x v="3"/>
    <x v="0"/>
    <n v="9"/>
    <n v="486.58"/>
    <s v="Store A"/>
    <x v="1"/>
    <n v="0.15"/>
    <x v="1"/>
    <n v="3722.337"/>
    <x v="0"/>
    <s v="FREESHIP"/>
    <n v="0"/>
    <s v="REG101298"/>
    <s v="Cust 3474"/>
    <n v="38.72"/>
    <x v="698"/>
    <d v="2024-07-30T00:00:00"/>
    <s v="Cameron"/>
  </r>
  <r>
    <d v="2024-12-26T00:00:00"/>
    <x v="1"/>
    <x v="2"/>
    <n v="12"/>
    <n v="578.86"/>
    <s v="Store D"/>
    <x v="1"/>
    <n v="0.15"/>
    <x v="2"/>
    <n v="5904.3719999999994"/>
    <x v="4"/>
    <s v="FREESHIP"/>
    <n v="0"/>
    <s v="REG101299"/>
    <s v="Cust 2111"/>
    <n v="25.84"/>
    <x v="215"/>
    <d v="2025-01-03T00:00:00"/>
    <s v="Sophie"/>
  </r>
  <r>
    <d v="2025-01-23T00:00:00"/>
    <x v="0"/>
    <x v="5"/>
    <n v="7"/>
    <n v="196.88"/>
    <s v="Store C"/>
    <x v="1"/>
    <n v="0"/>
    <x v="4"/>
    <n v="1378.16"/>
    <x v="3"/>
    <s v="SAVE10"/>
    <n v="0"/>
    <s v="REG101300"/>
    <s v="Cust 9506"/>
    <n v="44.92"/>
    <x v="187"/>
    <d v="2025-01-31T00:00:00"/>
    <s v="Eric"/>
  </r>
  <r>
    <d v="2024-03-25T00:00:00"/>
    <x v="1"/>
    <x v="1"/>
    <n v="7"/>
    <n v="446.32"/>
    <s v="Store B"/>
    <x v="0"/>
    <n v="0.1"/>
    <x v="1"/>
    <n v="2811.8159999999998"/>
    <x v="3"/>
    <m/>
    <n v="0"/>
    <s v="REG101301"/>
    <s v="Cust 2341"/>
    <n v="47.23"/>
    <x v="699"/>
    <d v="2024-04-01T00:00:00"/>
    <s v="Sophie"/>
  </r>
  <r>
    <d v="2025-03-04T00:00:00"/>
    <x v="3"/>
    <x v="5"/>
    <n v="11"/>
    <n v="447.38"/>
    <s v="Store D"/>
    <x v="0"/>
    <n v="0"/>
    <x v="1"/>
    <n v="4921.18"/>
    <x v="1"/>
    <s v="SAVE10"/>
    <n v="0"/>
    <s v="REG101302"/>
    <s v="Cust 7035"/>
    <n v="36.72"/>
    <x v="155"/>
    <d v="2025-03-11T00:00:00"/>
    <s v="Cameron"/>
  </r>
  <r>
    <d v="2023-10-20T00:00:00"/>
    <x v="1"/>
    <x v="2"/>
    <n v="14"/>
    <n v="275.33999999999997"/>
    <s v="Store B"/>
    <x v="1"/>
    <n v="0.1"/>
    <x v="3"/>
    <n v="3469.2840000000001"/>
    <x v="0"/>
    <m/>
    <n v="1"/>
    <s v="REG101303"/>
    <s v="Cust 5935"/>
    <n v="32.799999999999997"/>
    <x v="700"/>
    <d v="2023-10-24T00:00:00"/>
    <s v="Sophie"/>
  </r>
  <r>
    <d v="2024-09-19T00:00:00"/>
    <x v="3"/>
    <x v="2"/>
    <n v="2"/>
    <n v="27.64"/>
    <s v="Store B"/>
    <x v="1"/>
    <n v="0.15"/>
    <x v="2"/>
    <n v="46.988"/>
    <x v="2"/>
    <s v="FREESHIP"/>
    <n v="0"/>
    <s v="REG101304"/>
    <s v="Cust 3291"/>
    <n v="21.73"/>
    <x v="701"/>
    <d v="2024-09-28T00:00:00"/>
    <s v="Cameron"/>
  </r>
  <r>
    <d v="2023-09-23T00:00:00"/>
    <x v="2"/>
    <x v="4"/>
    <n v="17"/>
    <n v="439.3"/>
    <s v="Store B"/>
    <x v="1"/>
    <n v="0"/>
    <x v="2"/>
    <n v="7468.1"/>
    <x v="0"/>
    <s v="FREESHIP"/>
    <n v="0"/>
    <s v="REG101305"/>
    <s v="Cust 5258"/>
    <n v="12.87"/>
    <x v="584"/>
    <d v="2023-09-26T00:00:00"/>
    <s v="Ryan"/>
  </r>
  <r>
    <d v="2024-12-31T00:00:00"/>
    <x v="0"/>
    <x v="6"/>
    <n v="15"/>
    <n v="573.80999999999995"/>
    <s v="Store C"/>
    <x v="1"/>
    <n v="0"/>
    <x v="1"/>
    <n v="8607.15"/>
    <x v="1"/>
    <s v="SAVE10"/>
    <n v="0"/>
    <s v="REG101306"/>
    <s v="Cust 4715"/>
    <n v="35.869999999999997"/>
    <x v="702"/>
    <d v="2025-01-02T00:00:00"/>
    <s v="Eric"/>
  </r>
  <r>
    <d v="2024-01-23T00:00:00"/>
    <x v="2"/>
    <x v="2"/>
    <n v="19"/>
    <n v="360.06"/>
    <s v="Store C"/>
    <x v="0"/>
    <n v="0.05"/>
    <x v="0"/>
    <n v="6499.0829999999996"/>
    <x v="3"/>
    <s v="FREESHIP"/>
    <n v="0"/>
    <s v="REG101307"/>
    <s v="Cust 3106"/>
    <n v="33.19"/>
    <x v="145"/>
    <d v="2024-01-31T00:00:00"/>
    <s v="Ryan"/>
  </r>
  <r>
    <d v="2023-06-13T00:00:00"/>
    <x v="0"/>
    <x v="0"/>
    <n v="7"/>
    <n v="535.20000000000005"/>
    <s v="Store C"/>
    <x v="1"/>
    <n v="0.1"/>
    <x v="2"/>
    <n v="3371.7600000000011"/>
    <x v="3"/>
    <m/>
    <n v="0"/>
    <s v="REG101308"/>
    <s v="Cust 9606"/>
    <n v="10.44"/>
    <x v="343"/>
    <d v="2023-06-23T00:00:00"/>
    <s v="Eric"/>
  </r>
  <r>
    <d v="2023-07-01T00:00:00"/>
    <x v="0"/>
    <x v="3"/>
    <n v="19"/>
    <n v="161.13"/>
    <s v="Store A"/>
    <x v="0"/>
    <n v="0"/>
    <x v="4"/>
    <n v="3061.47"/>
    <x v="2"/>
    <s v="FREESHIP"/>
    <n v="0"/>
    <s v="REG101309"/>
    <s v="Cust 9182"/>
    <n v="5.46"/>
    <x v="430"/>
    <d v="2023-07-06T00:00:00"/>
    <s v="Eric"/>
  </r>
  <r>
    <d v="2025-03-22T00:00:00"/>
    <x v="1"/>
    <x v="0"/>
    <n v="11"/>
    <n v="29.6"/>
    <s v="Store D"/>
    <x v="1"/>
    <n v="0.15"/>
    <x v="3"/>
    <n v="276.76"/>
    <x v="4"/>
    <s v="FREESHIP"/>
    <n v="1"/>
    <s v="REG101310"/>
    <s v="Cust 6299"/>
    <n v="34.96"/>
    <x v="61"/>
    <d v="2025-03-25T00:00:00"/>
    <s v="Sophie"/>
  </r>
  <r>
    <d v="2025-02-07T00:00:00"/>
    <x v="1"/>
    <x v="0"/>
    <n v="16"/>
    <n v="172.89"/>
    <s v="Store B"/>
    <x v="0"/>
    <n v="0.15"/>
    <x v="4"/>
    <n v="2351.3040000000001"/>
    <x v="2"/>
    <s v="FREESHIP"/>
    <n v="1"/>
    <s v="REG101311"/>
    <s v="Cust 9628"/>
    <n v="41.87"/>
    <x v="439"/>
    <d v="2025-02-15T00:00:00"/>
    <s v="Sophie"/>
  </r>
  <r>
    <d v="2023-10-18T00:00:00"/>
    <x v="2"/>
    <x v="1"/>
    <n v="5"/>
    <n v="48.06"/>
    <s v="Store A"/>
    <x v="0"/>
    <n v="0"/>
    <x v="1"/>
    <n v="240.3"/>
    <x v="1"/>
    <s v="FREESHIP"/>
    <n v="0"/>
    <s v="REG101312"/>
    <s v="Cust 3831"/>
    <n v="19.170000000000002"/>
    <x v="90"/>
    <d v="2023-10-26T00:00:00"/>
    <s v="Ryan"/>
  </r>
  <r>
    <d v="2024-01-02T00:00:00"/>
    <x v="3"/>
    <x v="2"/>
    <n v="7"/>
    <n v="55.76"/>
    <s v="Store C"/>
    <x v="0"/>
    <n v="0.1"/>
    <x v="1"/>
    <n v="351.28800000000001"/>
    <x v="0"/>
    <m/>
    <n v="0"/>
    <s v="REG101313"/>
    <s v="Cust 7955"/>
    <n v="38.979999999999997"/>
    <x v="78"/>
    <d v="2024-01-11T00:00:00"/>
    <s v="Cameron"/>
  </r>
  <r>
    <d v="2025-03-08T00:00:00"/>
    <x v="1"/>
    <x v="0"/>
    <n v="4"/>
    <n v="24.58"/>
    <s v="Store B"/>
    <x v="0"/>
    <n v="0.15"/>
    <x v="3"/>
    <n v="83.571999999999989"/>
    <x v="3"/>
    <s v="WINTER15"/>
    <n v="0"/>
    <s v="REG101314"/>
    <s v="Cust 3939"/>
    <n v="39.869999999999997"/>
    <x v="251"/>
    <d v="2025-03-17T00:00:00"/>
    <s v="Sophie"/>
  </r>
  <r>
    <d v="2023-07-03T00:00:00"/>
    <x v="4"/>
    <x v="2"/>
    <n v="2"/>
    <n v="504.82"/>
    <s v="Store D"/>
    <x v="1"/>
    <n v="0"/>
    <x v="3"/>
    <n v="1009.64"/>
    <x v="3"/>
    <s v="FREESHIP"/>
    <n v="0"/>
    <s v="REG101315"/>
    <s v="Cust 7916"/>
    <n v="25.54"/>
    <x v="318"/>
    <d v="2023-07-08T00:00:00"/>
    <s v="Wendy"/>
  </r>
  <r>
    <d v="2023-11-15T00:00:00"/>
    <x v="2"/>
    <x v="5"/>
    <n v="17"/>
    <n v="275.89"/>
    <s v="Store B"/>
    <x v="0"/>
    <n v="0.1"/>
    <x v="5"/>
    <n v="4221.1170000000002"/>
    <x v="1"/>
    <s v="FREESHIP"/>
    <n v="0"/>
    <s v="REG101316"/>
    <s v="Cust 2477"/>
    <n v="15.43"/>
    <x v="703"/>
    <d v="2023-11-22T00:00:00"/>
    <s v="Ryan"/>
  </r>
  <r>
    <d v="2024-02-10T00:00:00"/>
    <x v="4"/>
    <x v="2"/>
    <n v="9"/>
    <n v="130.57"/>
    <s v="Store C"/>
    <x v="0"/>
    <n v="0.1"/>
    <x v="0"/>
    <n v="1057.617"/>
    <x v="4"/>
    <s v="WINTER15"/>
    <n v="0"/>
    <s v="REG101317"/>
    <s v="Cust 3781"/>
    <n v="37.14"/>
    <x v="672"/>
    <d v="2024-02-17T00:00:00"/>
    <s v="Wendy"/>
  </r>
  <r>
    <d v="2025-04-09T00:00:00"/>
    <x v="4"/>
    <x v="4"/>
    <n v="12"/>
    <n v="312.72000000000003"/>
    <s v="Store C"/>
    <x v="1"/>
    <n v="0"/>
    <x v="0"/>
    <n v="3752.64"/>
    <x v="1"/>
    <m/>
    <n v="0"/>
    <s v="REG101318"/>
    <s v="Cust 2641"/>
    <n v="18.46"/>
    <x v="320"/>
    <d v="2025-04-19T00:00:00"/>
    <s v="Wendy"/>
  </r>
  <r>
    <d v="2023-09-09T00:00:00"/>
    <x v="4"/>
    <x v="5"/>
    <n v="18"/>
    <n v="222.66"/>
    <s v="Store C"/>
    <x v="0"/>
    <n v="0.05"/>
    <x v="1"/>
    <n v="3807.4859999999999"/>
    <x v="1"/>
    <s v="SAVE10"/>
    <n v="0"/>
    <s v="REG101319"/>
    <s v="Cust 1969"/>
    <n v="12.91"/>
    <x v="507"/>
    <d v="2023-09-12T00:00:00"/>
    <s v="Wendy"/>
  </r>
  <r>
    <d v="2023-03-19T00:00:00"/>
    <x v="0"/>
    <x v="1"/>
    <n v="13"/>
    <n v="374.05"/>
    <s v="Store D"/>
    <x v="0"/>
    <n v="0.05"/>
    <x v="4"/>
    <n v="4619.5174999999999"/>
    <x v="3"/>
    <s v="FREESHIP"/>
    <n v="0"/>
    <s v="REG101320"/>
    <s v="Cust 4494"/>
    <n v="26.32"/>
    <x v="127"/>
    <d v="2023-03-26T00:00:00"/>
    <s v="Eric"/>
  </r>
  <r>
    <d v="2024-12-31T00:00:00"/>
    <x v="3"/>
    <x v="6"/>
    <n v="11"/>
    <n v="331.29"/>
    <s v="Store B"/>
    <x v="0"/>
    <n v="0.1"/>
    <x v="1"/>
    <n v="3279.7710000000002"/>
    <x v="2"/>
    <s v="WINTER15"/>
    <n v="0"/>
    <s v="REG101321"/>
    <s v="Cust 8850"/>
    <n v="6.22"/>
    <x v="702"/>
    <d v="2025-01-02T00:00:00"/>
    <s v="Cameron"/>
  </r>
  <r>
    <d v="2023-11-24T00:00:00"/>
    <x v="3"/>
    <x v="1"/>
    <n v="5"/>
    <n v="533.52"/>
    <s v="Store D"/>
    <x v="0"/>
    <n v="0"/>
    <x v="3"/>
    <n v="2667.6"/>
    <x v="2"/>
    <s v="FREESHIP"/>
    <n v="1"/>
    <s v="REG101322"/>
    <s v="Cust 3061"/>
    <n v="9.08"/>
    <x v="704"/>
    <d v="2023-11-26T00:00:00"/>
    <s v="Cameron"/>
  </r>
  <r>
    <d v="2025-05-15T00:00:00"/>
    <x v="0"/>
    <x v="3"/>
    <n v="10"/>
    <n v="492.24"/>
    <s v="Store A"/>
    <x v="1"/>
    <n v="0"/>
    <x v="1"/>
    <n v="4922.3999999999996"/>
    <x v="1"/>
    <s v="WINTER15"/>
    <n v="0"/>
    <s v="REG101323"/>
    <s v="Cust 4732"/>
    <n v="38.89"/>
    <x v="705"/>
    <d v="2025-05-22T00:00:00"/>
    <s v="Eric"/>
  </r>
  <r>
    <d v="2025-04-06T00:00:00"/>
    <x v="1"/>
    <x v="5"/>
    <n v="9"/>
    <n v="543.57000000000005"/>
    <s v="Store D"/>
    <x v="1"/>
    <n v="0.15"/>
    <x v="4"/>
    <n v="4158.3104999999996"/>
    <x v="3"/>
    <s v="SAVE10"/>
    <n v="0"/>
    <s v="REG101324"/>
    <s v="Cust 9889"/>
    <n v="7.54"/>
    <x v="575"/>
    <d v="2025-04-11T00:00:00"/>
    <s v="Sophie"/>
  </r>
  <r>
    <d v="2024-02-06T00:00:00"/>
    <x v="1"/>
    <x v="2"/>
    <n v="17"/>
    <n v="141.76"/>
    <s v="Store D"/>
    <x v="0"/>
    <n v="0.1"/>
    <x v="5"/>
    <n v="2168.9279999999999"/>
    <x v="4"/>
    <s v="WINTER15"/>
    <n v="1"/>
    <s v="REG101325"/>
    <s v="Cust 2165"/>
    <n v="9.98"/>
    <x v="706"/>
    <d v="2024-02-14T00:00:00"/>
    <s v="Sophie"/>
  </r>
  <r>
    <d v="2025-05-14T00:00:00"/>
    <x v="2"/>
    <x v="0"/>
    <n v="12"/>
    <n v="502.7"/>
    <s v="Store D"/>
    <x v="0"/>
    <n v="0.1"/>
    <x v="1"/>
    <n v="5429.16"/>
    <x v="2"/>
    <s v="FREESHIP"/>
    <n v="0"/>
    <s v="REG101326"/>
    <s v="Cust 6121"/>
    <n v="6.49"/>
    <x v="707"/>
    <d v="2025-05-20T00:00:00"/>
    <s v="Ryan"/>
  </r>
  <r>
    <d v="2023-01-13T00:00:00"/>
    <x v="0"/>
    <x v="5"/>
    <n v="10"/>
    <n v="155.43"/>
    <s v="Store D"/>
    <x v="0"/>
    <n v="0.05"/>
    <x v="2"/>
    <n v="1476.585"/>
    <x v="1"/>
    <s v="WINTER15"/>
    <n v="0"/>
    <s v="REG101327"/>
    <s v="Cust 4071"/>
    <n v="26.49"/>
    <x v="322"/>
    <d v="2023-01-18T00:00:00"/>
    <s v="Eric"/>
  </r>
  <r>
    <d v="2024-02-19T00:00:00"/>
    <x v="2"/>
    <x v="5"/>
    <n v="18"/>
    <n v="203.73"/>
    <s v="Store B"/>
    <x v="0"/>
    <n v="0"/>
    <x v="3"/>
    <n v="3667.14"/>
    <x v="1"/>
    <s v="SAVE10"/>
    <n v="1"/>
    <s v="REG101328"/>
    <s v="Cust 5249"/>
    <n v="24.98"/>
    <x v="708"/>
    <d v="2024-02-28T00:00:00"/>
    <s v="Ryan"/>
  </r>
  <r>
    <d v="2023-10-07T00:00:00"/>
    <x v="1"/>
    <x v="1"/>
    <n v="3"/>
    <n v="464.11"/>
    <s v="Store B"/>
    <x v="0"/>
    <n v="0.15"/>
    <x v="1"/>
    <n v="1183.4804999999999"/>
    <x v="1"/>
    <m/>
    <n v="0"/>
    <s v="REG101329"/>
    <s v="Cust 4262"/>
    <n v="27.45"/>
    <x v="444"/>
    <d v="2023-10-12T00:00:00"/>
    <s v="Sophie"/>
  </r>
  <r>
    <d v="2024-09-17T00:00:00"/>
    <x v="3"/>
    <x v="3"/>
    <n v="2"/>
    <n v="442.03"/>
    <s v="Store B"/>
    <x v="1"/>
    <n v="0.15"/>
    <x v="3"/>
    <n v="751.45099999999991"/>
    <x v="3"/>
    <s v="WINTER15"/>
    <n v="0"/>
    <s v="REG101330"/>
    <s v="Cust 9314"/>
    <n v="28.71"/>
    <x v="457"/>
    <d v="2024-09-19T00:00:00"/>
    <s v="Cameron"/>
  </r>
  <r>
    <d v="2023-05-07T00:00:00"/>
    <x v="2"/>
    <x v="1"/>
    <n v="7"/>
    <n v="82.91"/>
    <s v="Store A"/>
    <x v="1"/>
    <n v="0.05"/>
    <x v="0"/>
    <n v="551.35149999999999"/>
    <x v="3"/>
    <s v="WINTER15"/>
    <n v="1"/>
    <s v="REG101331"/>
    <s v="Cust 7703"/>
    <n v="17.03"/>
    <x v="709"/>
    <d v="2023-05-17T00:00:00"/>
    <s v="Ryan"/>
  </r>
  <r>
    <d v="2023-12-12T00:00:00"/>
    <x v="2"/>
    <x v="1"/>
    <n v="13"/>
    <n v="468.16"/>
    <s v="Store B"/>
    <x v="1"/>
    <n v="0.15"/>
    <x v="1"/>
    <n v="5173.1679999999997"/>
    <x v="4"/>
    <s v="SAVE10"/>
    <n v="0"/>
    <s v="REG101332"/>
    <s v="Cust 8367"/>
    <n v="29.11"/>
    <x v="289"/>
    <d v="2023-12-21T00:00:00"/>
    <s v="Ryan"/>
  </r>
  <r>
    <d v="2025-03-11T00:00:00"/>
    <x v="3"/>
    <x v="5"/>
    <n v="3"/>
    <n v="11.32"/>
    <s v="Store C"/>
    <x v="1"/>
    <n v="0.05"/>
    <x v="0"/>
    <n v="32.262"/>
    <x v="0"/>
    <s v="WINTER15"/>
    <n v="0"/>
    <s v="REG101333"/>
    <s v="Cust 7872"/>
    <n v="16.39"/>
    <x v="402"/>
    <d v="2025-03-14T00:00:00"/>
    <s v="Cameron"/>
  </r>
  <r>
    <d v="2024-03-29T00:00:00"/>
    <x v="0"/>
    <x v="3"/>
    <n v="1"/>
    <n v="378.36"/>
    <s v="Store A"/>
    <x v="1"/>
    <n v="0.05"/>
    <x v="0"/>
    <n v="359.44200000000001"/>
    <x v="4"/>
    <m/>
    <n v="0"/>
    <s v="REG101334"/>
    <s v="Cust 4732"/>
    <n v="7.59"/>
    <x v="604"/>
    <d v="2024-04-07T00:00:00"/>
    <s v="Eric"/>
  </r>
  <r>
    <d v="2024-07-28T00:00:00"/>
    <x v="4"/>
    <x v="5"/>
    <n v="6"/>
    <n v="61.06"/>
    <s v="Store D"/>
    <x v="0"/>
    <n v="0"/>
    <x v="5"/>
    <n v="366.36"/>
    <x v="3"/>
    <s v="SAVE10"/>
    <n v="1"/>
    <s v="REG101335"/>
    <s v="Cust 1007"/>
    <n v="49.09"/>
    <x v="710"/>
    <d v="2024-08-05T00:00:00"/>
    <s v="Wendy"/>
  </r>
  <r>
    <d v="2024-07-11T00:00:00"/>
    <x v="1"/>
    <x v="5"/>
    <n v="14"/>
    <n v="98.06"/>
    <s v="Store A"/>
    <x v="0"/>
    <n v="0.1"/>
    <x v="1"/>
    <n v="1235.556"/>
    <x v="3"/>
    <s v="SAVE10"/>
    <n v="1"/>
    <s v="REG101336"/>
    <s v="Cust 1946"/>
    <n v="10.34"/>
    <x v="156"/>
    <d v="2024-07-21T00:00:00"/>
    <s v="Sophie"/>
  </r>
  <r>
    <d v="2024-07-05T00:00:00"/>
    <x v="4"/>
    <x v="0"/>
    <n v="16"/>
    <n v="123.86"/>
    <s v="Store A"/>
    <x v="0"/>
    <n v="0.15"/>
    <x v="1"/>
    <n v="1684.4960000000001"/>
    <x v="1"/>
    <m/>
    <n v="1"/>
    <s v="REG101337"/>
    <s v="Cust 6347"/>
    <n v="18.02"/>
    <x v="711"/>
    <d v="2024-07-14T00:00:00"/>
    <s v="Wendy"/>
  </r>
  <r>
    <d v="2024-03-19T00:00:00"/>
    <x v="0"/>
    <x v="0"/>
    <n v="16"/>
    <n v="90.3"/>
    <s v="Store C"/>
    <x v="0"/>
    <n v="0.05"/>
    <x v="4"/>
    <n v="1372.56"/>
    <x v="0"/>
    <s v="WINTER15"/>
    <n v="0"/>
    <s v="REG101338"/>
    <s v="Cust 6499"/>
    <n v="25.25"/>
    <x v="422"/>
    <d v="2024-03-24T00:00:00"/>
    <s v="Eric"/>
  </r>
  <r>
    <d v="2023-12-25T00:00:00"/>
    <x v="3"/>
    <x v="5"/>
    <n v="18"/>
    <n v="470.91"/>
    <s v="Store C"/>
    <x v="0"/>
    <n v="0.1"/>
    <x v="0"/>
    <n v="7628.7420000000011"/>
    <x v="1"/>
    <s v="FREESHIP"/>
    <n v="0"/>
    <s v="REG101339"/>
    <s v="Cust 1420"/>
    <n v="14.87"/>
    <x v="486"/>
    <d v="2023-12-29T00:00:00"/>
    <s v="Cameron"/>
  </r>
  <r>
    <d v="2024-12-03T00:00:00"/>
    <x v="1"/>
    <x v="4"/>
    <n v="12"/>
    <n v="383.45"/>
    <s v="Store C"/>
    <x v="1"/>
    <n v="0"/>
    <x v="5"/>
    <n v="4601.3999999999996"/>
    <x v="3"/>
    <s v="FREESHIP"/>
    <n v="0"/>
    <s v="REG101340"/>
    <s v="Cust 6744"/>
    <n v="11.62"/>
    <x v="581"/>
    <d v="2024-12-05T00:00:00"/>
    <s v="Sophie"/>
  </r>
  <r>
    <d v="2023-09-08T00:00:00"/>
    <x v="0"/>
    <x v="5"/>
    <n v="20"/>
    <n v="293.94"/>
    <s v="Store B"/>
    <x v="1"/>
    <n v="0.15"/>
    <x v="1"/>
    <n v="4996.9799999999996"/>
    <x v="2"/>
    <s v="SAVE10"/>
    <n v="0"/>
    <s v="REG101341"/>
    <s v="Cust 5690"/>
    <n v="9.2899999999999991"/>
    <x v="247"/>
    <d v="2023-09-15T00:00:00"/>
    <s v="Eric"/>
  </r>
  <r>
    <d v="2024-01-05T00:00:00"/>
    <x v="0"/>
    <x v="2"/>
    <n v="2"/>
    <n v="454.01"/>
    <s v="Store B"/>
    <x v="0"/>
    <n v="0"/>
    <x v="4"/>
    <n v="908.02"/>
    <x v="0"/>
    <s v="WINTER15"/>
    <n v="0"/>
    <s v="REG101342"/>
    <s v="Cust 1265"/>
    <n v="9.7799999999999994"/>
    <x v="52"/>
    <d v="2024-01-07T00:00:00"/>
    <s v="Eric"/>
  </r>
  <r>
    <d v="2023-08-03T00:00:00"/>
    <x v="1"/>
    <x v="3"/>
    <n v="5"/>
    <n v="163.55000000000001"/>
    <s v="Store D"/>
    <x v="1"/>
    <n v="0.05"/>
    <x v="2"/>
    <n v="776.86249999999995"/>
    <x v="4"/>
    <m/>
    <n v="0"/>
    <s v="REG101343"/>
    <s v="Cust 7676"/>
    <n v="28.9"/>
    <x v="712"/>
    <d v="2023-08-10T00:00:00"/>
    <s v="Sophie"/>
  </r>
  <r>
    <d v="2025-02-11T00:00:00"/>
    <x v="2"/>
    <x v="4"/>
    <n v="12"/>
    <n v="141.61000000000001"/>
    <s v="Store B"/>
    <x v="0"/>
    <n v="0"/>
    <x v="2"/>
    <n v="1699.32"/>
    <x v="2"/>
    <s v="WINTER15"/>
    <n v="0"/>
    <s v="REG101344"/>
    <s v="Cust 4442"/>
    <n v="11.72"/>
    <x v="668"/>
    <d v="2025-02-21T00:00:00"/>
    <s v="Ryan"/>
  </r>
  <r>
    <d v="2023-06-17T00:00:00"/>
    <x v="1"/>
    <x v="3"/>
    <n v="6"/>
    <n v="332.18"/>
    <s v="Store B"/>
    <x v="0"/>
    <n v="0.1"/>
    <x v="5"/>
    <n v="1793.7719999999999"/>
    <x v="0"/>
    <s v="WINTER15"/>
    <n v="0"/>
    <s v="REG101345"/>
    <s v="Cust 2975"/>
    <n v="21.95"/>
    <x v="357"/>
    <d v="2023-06-21T00:00:00"/>
    <s v="Sophie"/>
  </r>
  <r>
    <d v="2024-02-05T00:00:00"/>
    <x v="3"/>
    <x v="4"/>
    <n v="14"/>
    <n v="463.96"/>
    <s v="Store D"/>
    <x v="1"/>
    <n v="0.15"/>
    <x v="4"/>
    <n v="5521.1239999999998"/>
    <x v="1"/>
    <m/>
    <n v="0"/>
    <s v="REG101346"/>
    <s v="Cust 7832"/>
    <n v="29.19"/>
    <x v="713"/>
    <d v="2024-02-14T00:00:00"/>
    <s v="Cameron"/>
  </r>
  <r>
    <d v="2024-03-17T00:00:00"/>
    <x v="1"/>
    <x v="2"/>
    <n v="10"/>
    <n v="68.27"/>
    <s v="Store A"/>
    <x v="0"/>
    <n v="0.15"/>
    <x v="4"/>
    <n v="580.29499999999996"/>
    <x v="2"/>
    <m/>
    <n v="0"/>
    <s v="REG101347"/>
    <s v="Cust 7753"/>
    <n v="24.33"/>
    <x v="138"/>
    <d v="2024-03-27T00:00:00"/>
    <s v="Sophie"/>
  </r>
  <r>
    <d v="2024-02-03T00:00:00"/>
    <x v="3"/>
    <x v="0"/>
    <n v="8"/>
    <n v="27.01"/>
    <s v="Store C"/>
    <x v="0"/>
    <n v="0.05"/>
    <x v="0"/>
    <n v="205.27600000000001"/>
    <x v="0"/>
    <s v="FREESHIP"/>
    <n v="1"/>
    <s v="REG101348"/>
    <s v="Cust 8639"/>
    <n v="42.65"/>
    <x v="490"/>
    <d v="2024-02-09T00:00:00"/>
    <s v="Cameron"/>
  </r>
  <r>
    <d v="2023-03-31T00:00:00"/>
    <x v="2"/>
    <x v="5"/>
    <n v="9"/>
    <n v="78.8"/>
    <s v="Store D"/>
    <x v="1"/>
    <n v="0.1"/>
    <x v="1"/>
    <n v="638.28"/>
    <x v="0"/>
    <s v="FREESHIP"/>
    <n v="0"/>
    <s v="REG101349"/>
    <s v="Cust 9878"/>
    <n v="9.2899999999999991"/>
    <x v="714"/>
    <d v="2023-04-10T00:00:00"/>
    <s v="Ryan"/>
  </r>
  <r>
    <d v="2023-08-18T00:00:00"/>
    <x v="4"/>
    <x v="5"/>
    <n v="16"/>
    <n v="174.68"/>
    <s v="Store B"/>
    <x v="0"/>
    <n v="0.15"/>
    <x v="2"/>
    <n v="2375.6480000000001"/>
    <x v="2"/>
    <m/>
    <n v="0"/>
    <s v="REG101350"/>
    <s v="Cust 4205"/>
    <n v="45.99"/>
    <x v="715"/>
    <d v="2023-08-22T00:00:00"/>
    <s v="Wendy"/>
  </r>
  <r>
    <d v="2023-09-10T00:00:00"/>
    <x v="3"/>
    <x v="6"/>
    <n v="4"/>
    <n v="306.06"/>
    <s v="Store C"/>
    <x v="0"/>
    <n v="0.05"/>
    <x v="3"/>
    <n v="1163.028"/>
    <x v="1"/>
    <s v="SAVE10"/>
    <n v="1"/>
    <s v="REG101351"/>
    <s v="Cust 4009"/>
    <n v="32.75"/>
    <x v="354"/>
    <d v="2023-09-13T00:00:00"/>
    <s v="Cameron"/>
  </r>
  <r>
    <d v="2024-01-29T00:00:00"/>
    <x v="1"/>
    <x v="5"/>
    <n v="12"/>
    <n v="164.22"/>
    <s v="Store C"/>
    <x v="1"/>
    <n v="0"/>
    <x v="5"/>
    <n v="1970.64"/>
    <x v="2"/>
    <s v="FREESHIP"/>
    <n v="0"/>
    <s v="REG101352"/>
    <s v="Cust 6499"/>
    <n v="21.46"/>
    <x v="282"/>
    <d v="2024-02-03T00:00:00"/>
    <s v="Sophie"/>
  </r>
  <r>
    <d v="2024-03-21T00:00:00"/>
    <x v="2"/>
    <x v="5"/>
    <n v="20"/>
    <n v="336.29"/>
    <s v="Store C"/>
    <x v="1"/>
    <n v="0"/>
    <x v="0"/>
    <n v="6725.8"/>
    <x v="1"/>
    <s v="FREESHIP"/>
    <n v="0"/>
    <s v="REG101353"/>
    <s v="Cust 4389"/>
    <n v="25.02"/>
    <x v="58"/>
    <d v="2024-03-30T00:00:00"/>
    <s v="Ryan"/>
  </r>
  <r>
    <d v="2024-08-03T00:00:00"/>
    <x v="4"/>
    <x v="5"/>
    <n v="7"/>
    <n v="180.25"/>
    <s v="Store D"/>
    <x v="1"/>
    <n v="0.1"/>
    <x v="4"/>
    <n v="1135.575"/>
    <x v="1"/>
    <s v="WINTER15"/>
    <n v="0"/>
    <s v="REG101354"/>
    <s v="Cust 2008"/>
    <n v="36.79"/>
    <x v="716"/>
    <d v="2024-08-05T00:00:00"/>
    <s v="Wendy"/>
  </r>
  <r>
    <d v="2025-05-05T00:00:00"/>
    <x v="2"/>
    <x v="4"/>
    <n v="1"/>
    <n v="21.75"/>
    <s v="Store C"/>
    <x v="1"/>
    <n v="0"/>
    <x v="1"/>
    <n v="21.75"/>
    <x v="4"/>
    <s v="FREESHIP"/>
    <n v="0"/>
    <s v="REG101355"/>
    <s v="Cust 6509"/>
    <n v="7.35"/>
    <x v="500"/>
    <d v="2025-05-14T00:00:00"/>
    <s v="Ryan"/>
  </r>
  <r>
    <d v="2023-02-08T00:00:00"/>
    <x v="4"/>
    <x v="5"/>
    <n v="13"/>
    <n v="149.16"/>
    <s v="Store C"/>
    <x v="1"/>
    <n v="0.1"/>
    <x v="0"/>
    <n v="1745.172"/>
    <x v="4"/>
    <m/>
    <n v="1"/>
    <s v="REG101356"/>
    <s v="Cust 4270"/>
    <n v="20.9"/>
    <x v="162"/>
    <d v="2023-02-16T00:00:00"/>
    <s v="Wendy"/>
  </r>
  <r>
    <d v="2023-05-26T00:00:00"/>
    <x v="3"/>
    <x v="3"/>
    <n v="7"/>
    <n v="220.9"/>
    <s v="Store A"/>
    <x v="0"/>
    <n v="0.15"/>
    <x v="5"/>
    <n v="1314.355"/>
    <x v="1"/>
    <s v="FREESHIP"/>
    <n v="0"/>
    <s v="REG101357"/>
    <s v="Cust 4414"/>
    <n v="15.25"/>
    <x v="717"/>
    <d v="2023-06-05T00:00:00"/>
    <s v="Cameron"/>
  </r>
  <r>
    <d v="2024-07-15T00:00:00"/>
    <x v="0"/>
    <x v="3"/>
    <n v="1"/>
    <n v="364.27"/>
    <s v="Store A"/>
    <x v="1"/>
    <n v="0.1"/>
    <x v="1"/>
    <n v="327.84300000000002"/>
    <x v="3"/>
    <s v="WINTER15"/>
    <n v="0"/>
    <s v="REG101358"/>
    <s v="Cust 6409"/>
    <n v="8.91"/>
    <x v="236"/>
    <d v="2024-07-22T00:00:00"/>
    <s v="Eric"/>
  </r>
  <r>
    <d v="2024-12-18T00:00:00"/>
    <x v="2"/>
    <x v="4"/>
    <n v="9"/>
    <n v="306.42"/>
    <s v="Store C"/>
    <x v="0"/>
    <n v="0"/>
    <x v="5"/>
    <n v="2757.78"/>
    <x v="0"/>
    <m/>
    <n v="0"/>
    <s v="REG101359"/>
    <s v="Cust 1621"/>
    <n v="15.81"/>
    <x v="227"/>
    <d v="2024-12-27T00:00:00"/>
    <s v="Ryan"/>
  </r>
  <r>
    <d v="2024-09-29T00:00:00"/>
    <x v="2"/>
    <x v="5"/>
    <n v="18"/>
    <n v="589"/>
    <s v="Store B"/>
    <x v="0"/>
    <n v="0.1"/>
    <x v="4"/>
    <n v="9541.8000000000011"/>
    <x v="4"/>
    <s v="WINTER15"/>
    <n v="0"/>
    <s v="REG101360"/>
    <s v="Cust 6790"/>
    <n v="37.78"/>
    <x v="385"/>
    <d v="2024-10-08T00:00:00"/>
    <s v="Ryan"/>
  </r>
  <r>
    <d v="2024-10-25T00:00:00"/>
    <x v="1"/>
    <x v="2"/>
    <n v="16"/>
    <n v="249.45"/>
    <s v="Store C"/>
    <x v="0"/>
    <n v="0.1"/>
    <x v="1"/>
    <n v="3592.08"/>
    <x v="4"/>
    <s v="FREESHIP"/>
    <n v="0"/>
    <s v="REG101361"/>
    <s v="Cust 4045"/>
    <n v="20.92"/>
    <x v="718"/>
    <d v="2024-11-01T00:00:00"/>
    <s v="Sophie"/>
  </r>
  <r>
    <d v="2025-01-06T00:00:00"/>
    <x v="2"/>
    <x v="4"/>
    <n v="20"/>
    <n v="440.32"/>
    <s v="Store C"/>
    <x v="1"/>
    <n v="0.05"/>
    <x v="1"/>
    <n v="8366.08"/>
    <x v="3"/>
    <s v="SAVE10"/>
    <n v="1"/>
    <s v="REG101362"/>
    <s v="Cust 1258"/>
    <n v="6.17"/>
    <x v="428"/>
    <d v="2025-01-16T00:00:00"/>
    <s v="Ryan"/>
  </r>
  <r>
    <d v="2023-11-19T00:00:00"/>
    <x v="3"/>
    <x v="5"/>
    <n v="3"/>
    <n v="101.34"/>
    <s v="Store A"/>
    <x v="0"/>
    <n v="0"/>
    <x v="3"/>
    <n v="304.02"/>
    <x v="3"/>
    <m/>
    <n v="0"/>
    <s v="REG101363"/>
    <s v="Cust 8051"/>
    <n v="23.15"/>
    <x v="86"/>
    <d v="2023-11-21T00:00:00"/>
    <s v="Cameron"/>
  </r>
  <r>
    <d v="2024-04-11T00:00:00"/>
    <x v="1"/>
    <x v="1"/>
    <n v="17"/>
    <n v="311.61"/>
    <s v="Store A"/>
    <x v="1"/>
    <n v="0.05"/>
    <x v="0"/>
    <n v="5032.5014999999994"/>
    <x v="0"/>
    <m/>
    <n v="1"/>
    <s v="REG101364"/>
    <s v="Cust 9371"/>
    <n v="29.9"/>
    <x v="610"/>
    <d v="2024-04-17T00:00:00"/>
    <s v="Sophie"/>
  </r>
  <r>
    <d v="2024-03-30T00:00:00"/>
    <x v="1"/>
    <x v="4"/>
    <n v="2"/>
    <n v="441.18"/>
    <s v="Store B"/>
    <x v="1"/>
    <n v="0.15"/>
    <x v="5"/>
    <n v="750.00599999999997"/>
    <x v="4"/>
    <m/>
    <n v="1"/>
    <s v="REG101365"/>
    <s v="Cust 9881"/>
    <n v="23.07"/>
    <x v="719"/>
    <d v="2024-04-06T00:00:00"/>
    <s v="Sophie"/>
  </r>
  <r>
    <d v="2024-11-25T00:00:00"/>
    <x v="2"/>
    <x v="3"/>
    <n v="20"/>
    <n v="286.66000000000003"/>
    <s v="Store D"/>
    <x v="1"/>
    <n v="0.1"/>
    <x v="3"/>
    <n v="5159.880000000001"/>
    <x v="3"/>
    <s v="WINTER15"/>
    <n v="0"/>
    <s v="REG101366"/>
    <s v="Cust 2153"/>
    <n v="15.54"/>
    <x v="681"/>
    <d v="2024-11-29T00:00:00"/>
    <s v="Ryan"/>
  </r>
  <r>
    <d v="2025-01-06T00:00:00"/>
    <x v="2"/>
    <x v="6"/>
    <n v="13"/>
    <n v="483.63"/>
    <s v="Store A"/>
    <x v="1"/>
    <n v="0.05"/>
    <x v="3"/>
    <n v="5972.8304999999991"/>
    <x v="4"/>
    <s v="FREESHIP"/>
    <n v="0"/>
    <s v="REG101367"/>
    <s v="Cust 9189"/>
    <n v="18.22"/>
    <x v="428"/>
    <d v="2025-01-15T00:00:00"/>
    <s v="Ryan"/>
  </r>
  <r>
    <d v="2023-04-15T00:00:00"/>
    <x v="4"/>
    <x v="5"/>
    <n v="8"/>
    <n v="304.14999999999998"/>
    <s v="Store B"/>
    <x v="0"/>
    <n v="0.05"/>
    <x v="3"/>
    <n v="2311.54"/>
    <x v="3"/>
    <m/>
    <n v="0"/>
    <s v="REG101368"/>
    <s v="Cust 8802"/>
    <n v="41.73"/>
    <x v="180"/>
    <d v="2023-04-18T00:00:00"/>
    <s v="Wendy"/>
  </r>
  <r>
    <d v="2024-02-07T00:00:00"/>
    <x v="0"/>
    <x v="6"/>
    <n v="10"/>
    <n v="452.21"/>
    <s v="Store A"/>
    <x v="1"/>
    <n v="0.1"/>
    <x v="0"/>
    <n v="4069.889999999999"/>
    <x v="4"/>
    <s v="WINTER15"/>
    <n v="0"/>
    <s v="REG101369"/>
    <s v="Cust 8707"/>
    <n v="15.87"/>
    <x v="451"/>
    <d v="2024-02-17T00:00:00"/>
    <s v="Eric"/>
  </r>
  <r>
    <d v="2023-06-02T00:00:00"/>
    <x v="0"/>
    <x v="6"/>
    <n v="4"/>
    <n v="248.16"/>
    <s v="Store B"/>
    <x v="1"/>
    <n v="0.1"/>
    <x v="4"/>
    <n v="893.37599999999998"/>
    <x v="2"/>
    <m/>
    <n v="1"/>
    <s v="REG101370"/>
    <s v="Cust 5638"/>
    <n v="45.11"/>
    <x v="720"/>
    <d v="2023-06-05T00:00:00"/>
    <s v="Eric"/>
  </r>
  <r>
    <d v="2023-08-24T00:00:00"/>
    <x v="0"/>
    <x v="0"/>
    <n v="4"/>
    <n v="520"/>
    <s v="Store A"/>
    <x v="1"/>
    <n v="0"/>
    <x v="0"/>
    <n v="2080"/>
    <x v="2"/>
    <s v="WINTER15"/>
    <n v="0"/>
    <s v="REG101371"/>
    <s v="Cust 6036"/>
    <n v="18.25"/>
    <x v="648"/>
    <d v="2023-09-02T00:00:00"/>
    <s v="Eric"/>
  </r>
  <r>
    <d v="2024-12-06T00:00:00"/>
    <x v="1"/>
    <x v="3"/>
    <n v="11"/>
    <n v="571.07000000000005"/>
    <s v="Store A"/>
    <x v="1"/>
    <n v="0"/>
    <x v="2"/>
    <n v="6281.77"/>
    <x v="1"/>
    <s v="SAVE10"/>
    <n v="0"/>
    <s v="REG101372"/>
    <s v="Cust 5504"/>
    <n v="12.6"/>
    <x v="721"/>
    <d v="2024-12-11T00:00:00"/>
    <s v="Sophie"/>
  </r>
  <r>
    <d v="2023-12-08T00:00:00"/>
    <x v="0"/>
    <x v="5"/>
    <n v="11"/>
    <n v="65.569999999999993"/>
    <s v="Store D"/>
    <x v="1"/>
    <n v="0.1"/>
    <x v="4"/>
    <n v="649.14300000000003"/>
    <x v="3"/>
    <s v="SAVE10"/>
    <n v="1"/>
    <s v="REG101373"/>
    <s v="Cust 1161"/>
    <n v="30.43"/>
    <x v="437"/>
    <d v="2023-12-14T00:00:00"/>
    <s v="Eric"/>
  </r>
  <r>
    <d v="2023-05-12T00:00:00"/>
    <x v="1"/>
    <x v="5"/>
    <n v="4"/>
    <n v="397.02"/>
    <s v="Store A"/>
    <x v="0"/>
    <n v="0"/>
    <x v="2"/>
    <n v="1588.08"/>
    <x v="4"/>
    <s v="FREESHIP"/>
    <n v="0"/>
    <s v="REG101374"/>
    <s v="Cust 5420"/>
    <n v="23.25"/>
    <x v="551"/>
    <d v="2023-05-20T00:00:00"/>
    <s v="Sophie"/>
  </r>
  <r>
    <d v="2025-04-24T00:00:00"/>
    <x v="4"/>
    <x v="0"/>
    <n v="10"/>
    <n v="169.35"/>
    <s v="Store B"/>
    <x v="1"/>
    <n v="0.05"/>
    <x v="1"/>
    <n v="1608.825"/>
    <x v="2"/>
    <s v="WINTER15"/>
    <n v="0"/>
    <s v="REG101375"/>
    <s v="Cust 7745"/>
    <n v="44.91"/>
    <x v="696"/>
    <d v="2025-04-27T00:00:00"/>
    <s v="Wendy"/>
  </r>
  <r>
    <d v="2023-04-23T00:00:00"/>
    <x v="3"/>
    <x v="5"/>
    <n v="9"/>
    <n v="340.44"/>
    <s v="Store D"/>
    <x v="1"/>
    <n v="0.05"/>
    <x v="3"/>
    <n v="2910.7620000000002"/>
    <x v="3"/>
    <s v="FREESHIP"/>
    <n v="1"/>
    <s v="REG101376"/>
    <s v="Cust 4365"/>
    <n v="36.68"/>
    <x v="134"/>
    <d v="2023-05-03T00:00:00"/>
    <s v="Cameron"/>
  </r>
  <r>
    <d v="2023-01-18T00:00:00"/>
    <x v="2"/>
    <x v="4"/>
    <n v="1"/>
    <n v="120.2"/>
    <s v="Store D"/>
    <x v="1"/>
    <n v="0.05"/>
    <x v="3"/>
    <n v="114.19"/>
    <x v="0"/>
    <s v="WINTER15"/>
    <n v="0"/>
    <s v="REG101377"/>
    <s v="Cust 3291"/>
    <n v="44.99"/>
    <x v="722"/>
    <d v="2023-01-21T00:00:00"/>
    <s v="Ryan"/>
  </r>
  <r>
    <d v="2025-05-11T00:00:00"/>
    <x v="2"/>
    <x v="1"/>
    <n v="13"/>
    <n v="169.39"/>
    <s v="Store B"/>
    <x v="0"/>
    <n v="0.15"/>
    <x v="4"/>
    <n v="1871.7594999999999"/>
    <x v="2"/>
    <m/>
    <n v="0"/>
    <s v="REG101378"/>
    <s v="Cust 9020"/>
    <n v="6.81"/>
    <x v="15"/>
    <d v="2025-05-21T00:00:00"/>
    <s v="Ryan"/>
  </r>
  <r>
    <d v="2024-12-23T00:00:00"/>
    <x v="4"/>
    <x v="5"/>
    <n v="10"/>
    <n v="170.72"/>
    <s v="Store A"/>
    <x v="0"/>
    <n v="0.05"/>
    <x v="2"/>
    <n v="1621.84"/>
    <x v="0"/>
    <s v="FREESHIP"/>
    <n v="0"/>
    <s v="REG101379"/>
    <s v="Cust 2667"/>
    <n v="29.18"/>
    <x v="473"/>
    <d v="2025-01-02T00:00:00"/>
    <s v="Wendy"/>
  </r>
  <r>
    <d v="2023-08-20T00:00:00"/>
    <x v="4"/>
    <x v="2"/>
    <n v="9"/>
    <n v="323.77"/>
    <s v="Store A"/>
    <x v="0"/>
    <n v="0.15"/>
    <x v="3"/>
    <n v="2476.8404999999998"/>
    <x v="3"/>
    <m/>
    <n v="0"/>
    <s v="REG101380"/>
    <s v="Cust 6158"/>
    <n v="6.36"/>
    <x v="652"/>
    <d v="2023-08-28T00:00:00"/>
    <s v="Wendy"/>
  </r>
  <r>
    <d v="2025-03-18T00:00:00"/>
    <x v="3"/>
    <x v="3"/>
    <n v="4"/>
    <n v="481.86"/>
    <s v="Store B"/>
    <x v="0"/>
    <n v="0"/>
    <x v="5"/>
    <n v="1927.44"/>
    <x v="0"/>
    <s v="FREESHIP"/>
    <n v="0"/>
    <s v="REG101381"/>
    <s v="Cust 7404"/>
    <n v="21.92"/>
    <x v="213"/>
    <d v="2025-03-23T00:00:00"/>
    <s v="Cameron"/>
  </r>
  <r>
    <d v="2024-01-16T00:00:00"/>
    <x v="3"/>
    <x v="1"/>
    <n v="4"/>
    <n v="78.05"/>
    <s v="Store A"/>
    <x v="1"/>
    <n v="0"/>
    <x v="3"/>
    <n v="312.2"/>
    <x v="2"/>
    <m/>
    <n v="0"/>
    <s v="REG101382"/>
    <s v="Cust 8572"/>
    <n v="14.03"/>
    <x v="436"/>
    <d v="2024-01-24T00:00:00"/>
    <s v="Cameron"/>
  </r>
  <r>
    <d v="2024-05-29T00:00:00"/>
    <x v="0"/>
    <x v="5"/>
    <n v="6"/>
    <n v="57.4"/>
    <s v="Store C"/>
    <x v="0"/>
    <n v="0.1"/>
    <x v="0"/>
    <n v="309.95999999999998"/>
    <x v="3"/>
    <s v="FREESHIP"/>
    <n v="0"/>
    <s v="REG101383"/>
    <s v="Cust 1043"/>
    <n v="26.42"/>
    <x v="723"/>
    <d v="2024-06-08T00:00:00"/>
    <s v="Eric"/>
  </r>
  <r>
    <d v="2025-03-25T00:00:00"/>
    <x v="1"/>
    <x v="0"/>
    <n v="9"/>
    <n v="454.98"/>
    <s v="Store B"/>
    <x v="0"/>
    <n v="0.15"/>
    <x v="0"/>
    <n v="3480.5970000000002"/>
    <x v="2"/>
    <m/>
    <n v="0"/>
    <s v="REG101384"/>
    <s v="Cust 1766"/>
    <n v="40.76"/>
    <x v="287"/>
    <d v="2025-03-27T00:00:00"/>
    <s v="Sophie"/>
  </r>
  <r>
    <d v="2025-03-22T00:00:00"/>
    <x v="3"/>
    <x v="2"/>
    <n v="11"/>
    <n v="365.75"/>
    <s v="Store D"/>
    <x v="0"/>
    <n v="0.05"/>
    <x v="5"/>
    <n v="3822.0875000000001"/>
    <x v="3"/>
    <s v="FREESHIP"/>
    <n v="1"/>
    <s v="REG101385"/>
    <s v="Cust 4461"/>
    <n v="8.3699999999999992"/>
    <x v="61"/>
    <d v="2025-03-27T00:00:00"/>
    <s v="Cameron"/>
  </r>
  <r>
    <d v="2024-08-17T00:00:00"/>
    <x v="0"/>
    <x v="1"/>
    <n v="7"/>
    <n v="106.88"/>
    <s v="Store C"/>
    <x v="1"/>
    <n v="0.05"/>
    <x v="4"/>
    <n v="710.75199999999995"/>
    <x v="4"/>
    <s v="WINTER15"/>
    <n v="1"/>
    <s v="REG101386"/>
    <s v="Cust 4390"/>
    <n v="26.12"/>
    <x v="157"/>
    <d v="2024-08-24T00:00:00"/>
    <s v="Eric"/>
  </r>
  <r>
    <d v="2024-06-02T00:00:00"/>
    <x v="1"/>
    <x v="6"/>
    <n v="2"/>
    <n v="250.98"/>
    <s v="Store B"/>
    <x v="0"/>
    <n v="0.1"/>
    <x v="0"/>
    <n v="451.76400000000001"/>
    <x v="0"/>
    <s v="WINTER15"/>
    <n v="0"/>
    <s v="REG101387"/>
    <s v="Cust 9451"/>
    <n v="18.8"/>
    <x v="403"/>
    <d v="2024-06-12T00:00:00"/>
    <s v="Sophie"/>
  </r>
  <r>
    <d v="2023-03-31T00:00:00"/>
    <x v="1"/>
    <x v="4"/>
    <n v="8"/>
    <n v="591.29"/>
    <s v="Store C"/>
    <x v="1"/>
    <n v="0.1"/>
    <x v="4"/>
    <n v="4257.2879999999996"/>
    <x v="2"/>
    <m/>
    <n v="1"/>
    <s v="REG101388"/>
    <s v="Cust 5335"/>
    <n v="45.14"/>
    <x v="714"/>
    <d v="2023-04-10T00:00:00"/>
    <s v="Sophie"/>
  </r>
  <r>
    <d v="2024-05-19T00:00:00"/>
    <x v="4"/>
    <x v="4"/>
    <n v="18"/>
    <n v="369.79"/>
    <s v="Store A"/>
    <x v="0"/>
    <n v="0.05"/>
    <x v="0"/>
    <n v="6323.4089999999997"/>
    <x v="4"/>
    <s v="FREESHIP"/>
    <n v="1"/>
    <s v="REG101389"/>
    <s v="Cust 3487"/>
    <n v="16.399999999999999"/>
    <x v="539"/>
    <d v="2024-05-23T00:00:00"/>
    <s v="Wendy"/>
  </r>
  <r>
    <d v="2023-03-02T00:00:00"/>
    <x v="4"/>
    <x v="2"/>
    <n v="15"/>
    <n v="166.24"/>
    <s v="Store D"/>
    <x v="0"/>
    <n v="0.1"/>
    <x v="4"/>
    <n v="2244.2399999999998"/>
    <x v="3"/>
    <s v="SAVE10"/>
    <n v="0"/>
    <s v="REG101390"/>
    <s v="Cust 7613"/>
    <n v="9.86"/>
    <x v="724"/>
    <d v="2023-03-05T00:00:00"/>
    <s v="Wendy"/>
  </r>
  <r>
    <d v="2023-03-13T00:00:00"/>
    <x v="2"/>
    <x v="6"/>
    <n v="12"/>
    <n v="260.76"/>
    <s v="Store C"/>
    <x v="0"/>
    <n v="0.15"/>
    <x v="3"/>
    <n v="2659.752"/>
    <x v="0"/>
    <m/>
    <n v="0"/>
    <s v="REG101391"/>
    <s v="Cust 9436"/>
    <n v="20.92"/>
    <x v="122"/>
    <d v="2023-03-22T00:00:00"/>
    <s v="Ryan"/>
  </r>
  <r>
    <d v="2025-04-16T00:00:00"/>
    <x v="4"/>
    <x v="0"/>
    <n v="10"/>
    <n v="348.63"/>
    <s v="Store D"/>
    <x v="0"/>
    <n v="0.05"/>
    <x v="4"/>
    <n v="3311.9850000000001"/>
    <x v="2"/>
    <m/>
    <n v="1"/>
    <s v="REG101392"/>
    <s v="Cust 2197"/>
    <n v="42.79"/>
    <x v="454"/>
    <d v="2025-04-18T00:00:00"/>
    <s v="Wendy"/>
  </r>
  <r>
    <d v="2024-06-05T00:00:00"/>
    <x v="2"/>
    <x v="3"/>
    <n v="5"/>
    <n v="473.28"/>
    <s v="Store A"/>
    <x v="1"/>
    <n v="0"/>
    <x v="4"/>
    <n v="2366.4"/>
    <x v="2"/>
    <s v="SAVE10"/>
    <n v="1"/>
    <s v="REG101393"/>
    <s v="Cust 5620"/>
    <n v="30.69"/>
    <x v="410"/>
    <d v="2024-06-15T00:00:00"/>
    <s v="Ryan"/>
  </r>
  <r>
    <d v="2024-09-01T00:00:00"/>
    <x v="2"/>
    <x v="3"/>
    <n v="16"/>
    <n v="401.83"/>
    <s v="Store B"/>
    <x v="1"/>
    <n v="0"/>
    <x v="0"/>
    <n v="6429.28"/>
    <x v="4"/>
    <s v="FREESHIP"/>
    <n v="0"/>
    <s v="REG101394"/>
    <s v="Cust 4101"/>
    <n v="21.54"/>
    <x v="404"/>
    <d v="2024-09-05T00:00:00"/>
    <s v="Ryan"/>
  </r>
  <r>
    <d v="2024-09-21T00:00:00"/>
    <x v="2"/>
    <x v="1"/>
    <n v="10"/>
    <n v="269.29000000000002"/>
    <s v="Store C"/>
    <x v="1"/>
    <n v="0"/>
    <x v="0"/>
    <n v="2692.9"/>
    <x v="3"/>
    <s v="SAVE10"/>
    <n v="0"/>
    <s v="REG101395"/>
    <s v="Cust 8828"/>
    <n v="14.09"/>
    <x v="367"/>
    <d v="2024-09-30T00:00:00"/>
    <s v="Ryan"/>
  </r>
  <r>
    <d v="2025-01-11T00:00:00"/>
    <x v="2"/>
    <x v="2"/>
    <n v="4"/>
    <n v="323.02"/>
    <s v="Store C"/>
    <x v="1"/>
    <n v="0.05"/>
    <x v="4"/>
    <n v="1227.4760000000001"/>
    <x v="4"/>
    <m/>
    <n v="0"/>
    <s v="REG101396"/>
    <s v="Cust 3187"/>
    <n v="19.53"/>
    <x v="405"/>
    <d v="2025-01-16T00:00:00"/>
    <s v="Ryan"/>
  </r>
  <r>
    <d v="2023-01-04T00:00:00"/>
    <x v="4"/>
    <x v="4"/>
    <n v="15"/>
    <n v="439.89"/>
    <s v="Store D"/>
    <x v="1"/>
    <n v="0.15"/>
    <x v="4"/>
    <n v="5608.5974999999989"/>
    <x v="0"/>
    <s v="FREESHIP"/>
    <n v="0"/>
    <s v="REG101397"/>
    <s v="Cust 1081"/>
    <n v="49.71"/>
    <x v="725"/>
    <d v="2023-01-08T00:00:00"/>
    <s v="Wendy"/>
  </r>
  <r>
    <d v="2023-05-02T00:00:00"/>
    <x v="4"/>
    <x v="4"/>
    <n v="16"/>
    <n v="483.09"/>
    <s v="Store C"/>
    <x v="0"/>
    <n v="0.05"/>
    <x v="1"/>
    <n v="7342.9679999999989"/>
    <x v="3"/>
    <m/>
    <n v="1"/>
    <s v="REG101398"/>
    <s v="Cust 5049"/>
    <n v="37.659999999999997"/>
    <x v="210"/>
    <d v="2023-05-05T00:00:00"/>
    <s v="Wendy"/>
  </r>
  <r>
    <d v="2023-07-09T00:00:00"/>
    <x v="0"/>
    <x v="1"/>
    <n v="13"/>
    <n v="27.39"/>
    <s v="Store B"/>
    <x v="1"/>
    <n v="0.15"/>
    <x v="2"/>
    <n v="302.65949999999998"/>
    <x v="4"/>
    <m/>
    <n v="0"/>
    <s v="REG101399"/>
    <s v="Cust 5409"/>
    <n v="22.95"/>
    <x v="657"/>
    <d v="2023-07-14T00:00:00"/>
    <s v="Eric"/>
  </r>
  <r>
    <d v="2025-02-27T00:00:00"/>
    <x v="0"/>
    <x v="4"/>
    <n v="18"/>
    <n v="432.52"/>
    <s v="Store D"/>
    <x v="1"/>
    <n v="0.05"/>
    <x v="5"/>
    <n v="7396.0919999999996"/>
    <x v="2"/>
    <s v="SAVE10"/>
    <n v="1"/>
    <s v="REG101400"/>
    <s v="Cust 2372"/>
    <n v="34.19"/>
    <x v="370"/>
    <d v="2025-03-04T00:00:00"/>
    <s v="Eric"/>
  </r>
  <r>
    <d v="2024-09-23T00:00:00"/>
    <x v="4"/>
    <x v="6"/>
    <n v="3"/>
    <n v="360.93"/>
    <s v="Store B"/>
    <x v="0"/>
    <n v="0.15"/>
    <x v="4"/>
    <n v="920.37149999999997"/>
    <x v="3"/>
    <s v="WINTER15"/>
    <n v="0"/>
    <s v="REG101401"/>
    <s v="Cust 2741"/>
    <n v="35.61"/>
    <x v="726"/>
    <d v="2024-09-29T00:00:00"/>
    <s v="Wendy"/>
  </r>
  <r>
    <d v="2025-06-22T00:00:00"/>
    <x v="0"/>
    <x v="5"/>
    <n v="5"/>
    <n v="414.58"/>
    <s v="Store B"/>
    <x v="1"/>
    <n v="0.1"/>
    <x v="4"/>
    <n v="1865.61"/>
    <x v="1"/>
    <m/>
    <n v="0"/>
    <s v="REG101402"/>
    <s v="Cust 2571"/>
    <n v="14.98"/>
    <x v="153"/>
    <d v="2025-07-01T00:00:00"/>
    <s v="Eric"/>
  </r>
  <r>
    <d v="2025-01-19T00:00:00"/>
    <x v="3"/>
    <x v="5"/>
    <n v="4"/>
    <n v="68.040000000000006"/>
    <s v="Store C"/>
    <x v="0"/>
    <n v="0"/>
    <x v="5"/>
    <n v="272.16000000000003"/>
    <x v="0"/>
    <s v="FREESHIP"/>
    <n v="0"/>
    <s v="REG101403"/>
    <s v="Cust 6301"/>
    <n v="18.72"/>
    <x v="423"/>
    <d v="2025-01-28T00:00:00"/>
    <s v="Cameron"/>
  </r>
  <r>
    <d v="2025-02-03T00:00:00"/>
    <x v="0"/>
    <x v="1"/>
    <n v="10"/>
    <n v="407.99"/>
    <s v="Store C"/>
    <x v="1"/>
    <n v="0.15"/>
    <x v="0"/>
    <n v="3467.915"/>
    <x v="4"/>
    <m/>
    <n v="0"/>
    <s v="REG101404"/>
    <s v="Cust 7918"/>
    <n v="49.59"/>
    <x v="45"/>
    <d v="2025-02-08T00:00:00"/>
    <s v="Eric"/>
  </r>
  <r>
    <d v="2023-11-11T00:00:00"/>
    <x v="0"/>
    <x v="5"/>
    <n v="15"/>
    <n v="274.77"/>
    <s v="Store D"/>
    <x v="1"/>
    <n v="0"/>
    <x v="0"/>
    <n v="4121.5499999999993"/>
    <x v="4"/>
    <m/>
    <n v="1"/>
    <s v="REG101405"/>
    <s v="Cust 3456"/>
    <n v="19.37"/>
    <x v="203"/>
    <d v="2023-11-17T00:00:00"/>
    <s v="Eric"/>
  </r>
  <r>
    <d v="2024-05-08T00:00:00"/>
    <x v="0"/>
    <x v="2"/>
    <n v="15"/>
    <n v="31.81"/>
    <s v="Store C"/>
    <x v="0"/>
    <n v="0.15"/>
    <x v="0"/>
    <n v="405.57749999999999"/>
    <x v="4"/>
    <s v="SAVE10"/>
    <n v="0"/>
    <s v="REG101406"/>
    <s v="Cust 8272"/>
    <n v="23.61"/>
    <x v="336"/>
    <d v="2024-05-10T00:00:00"/>
    <s v="Eric"/>
  </r>
  <r>
    <d v="2023-09-18T00:00:00"/>
    <x v="1"/>
    <x v="6"/>
    <n v="14"/>
    <n v="268.32"/>
    <s v="Store D"/>
    <x v="1"/>
    <n v="0"/>
    <x v="2"/>
    <n v="3756.48"/>
    <x v="0"/>
    <s v="WINTER15"/>
    <n v="0"/>
    <s v="REG101407"/>
    <s v="Cust 7302"/>
    <n v="43.14"/>
    <x v="339"/>
    <d v="2023-09-27T00:00:00"/>
    <s v="Sophie"/>
  </r>
  <r>
    <d v="2025-04-05T00:00:00"/>
    <x v="3"/>
    <x v="5"/>
    <n v="19"/>
    <n v="350.12"/>
    <s v="Store D"/>
    <x v="1"/>
    <n v="0.05"/>
    <x v="1"/>
    <n v="6319.6659999999993"/>
    <x v="2"/>
    <s v="FREESHIP"/>
    <n v="0"/>
    <s v="REG101408"/>
    <s v="Cust 6716"/>
    <n v="48.98"/>
    <x v="518"/>
    <d v="2025-04-13T00:00:00"/>
    <s v="Cameron"/>
  </r>
  <r>
    <d v="2023-09-13T00:00:00"/>
    <x v="3"/>
    <x v="2"/>
    <n v="9"/>
    <n v="329.15"/>
    <s v="Store A"/>
    <x v="1"/>
    <n v="0.05"/>
    <x v="4"/>
    <n v="2814.2325000000001"/>
    <x v="1"/>
    <s v="FREESHIP"/>
    <n v="0"/>
    <s v="REG101409"/>
    <s v="Cust 5484"/>
    <n v="29.41"/>
    <x v="727"/>
    <d v="2023-09-15T00:00:00"/>
    <s v="Cameron"/>
  </r>
  <r>
    <d v="2024-06-28T00:00:00"/>
    <x v="0"/>
    <x v="4"/>
    <n v="1"/>
    <n v="577.07000000000005"/>
    <s v="Store C"/>
    <x v="0"/>
    <n v="0.05"/>
    <x v="2"/>
    <n v="548.2165"/>
    <x v="0"/>
    <s v="WINTER15"/>
    <n v="0"/>
    <s v="REG101410"/>
    <s v="Cust 4652"/>
    <n v="22.97"/>
    <x v="163"/>
    <d v="2024-07-06T00:00:00"/>
    <s v="Eric"/>
  </r>
  <r>
    <d v="2023-04-06T00:00:00"/>
    <x v="3"/>
    <x v="3"/>
    <n v="6"/>
    <n v="544.33000000000004"/>
    <s v="Store B"/>
    <x v="0"/>
    <n v="0.1"/>
    <x v="3"/>
    <n v="2939.382000000001"/>
    <x v="4"/>
    <m/>
    <n v="0"/>
    <s v="REG101411"/>
    <s v="Cust 1222"/>
    <n v="11.52"/>
    <x v="645"/>
    <d v="2023-04-08T00:00:00"/>
    <s v="Cameron"/>
  </r>
  <r>
    <d v="2023-05-13T00:00:00"/>
    <x v="1"/>
    <x v="0"/>
    <n v="18"/>
    <n v="331.45"/>
    <s v="Store D"/>
    <x v="1"/>
    <n v="0.15"/>
    <x v="1"/>
    <n v="5071.1849999999986"/>
    <x v="4"/>
    <s v="WINTER15"/>
    <n v="1"/>
    <s v="REG101412"/>
    <s v="Cust 3559"/>
    <n v="32.92"/>
    <x v="194"/>
    <d v="2023-05-18T00:00:00"/>
    <s v="Sophie"/>
  </r>
  <r>
    <d v="2025-05-07T00:00:00"/>
    <x v="0"/>
    <x v="0"/>
    <n v="1"/>
    <n v="421.26"/>
    <s v="Store D"/>
    <x v="1"/>
    <n v="0.1"/>
    <x v="0"/>
    <n v="379.13400000000001"/>
    <x v="3"/>
    <s v="FREESHIP"/>
    <n v="0"/>
    <s v="REG101413"/>
    <s v="Cust 1287"/>
    <n v="36.340000000000003"/>
    <x v="695"/>
    <d v="2025-05-15T00:00:00"/>
    <s v="Eric"/>
  </r>
  <r>
    <d v="2025-03-22T00:00:00"/>
    <x v="2"/>
    <x v="5"/>
    <n v="4"/>
    <n v="555.02"/>
    <s v="Store B"/>
    <x v="1"/>
    <n v="0.1"/>
    <x v="4"/>
    <n v="1998.0719999999999"/>
    <x v="4"/>
    <s v="SAVE10"/>
    <n v="0"/>
    <s v="REG101414"/>
    <s v="Cust 5444"/>
    <n v="45.25"/>
    <x v="61"/>
    <d v="2025-03-27T00:00:00"/>
    <s v="Ryan"/>
  </r>
  <r>
    <d v="2024-06-24T00:00:00"/>
    <x v="1"/>
    <x v="0"/>
    <n v="19"/>
    <n v="254.03"/>
    <s v="Store C"/>
    <x v="0"/>
    <n v="0"/>
    <x v="2"/>
    <n v="4826.57"/>
    <x v="0"/>
    <s v="SAVE10"/>
    <n v="1"/>
    <s v="REG101415"/>
    <s v="Cust 4018"/>
    <n v="11.21"/>
    <x v="503"/>
    <d v="2024-07-02T00:00:00"/>
    <s v="Sophie"/>
  </r>
  <r>
    <d v="2025-06-29T00:00:00"/>
    <x v="4"/>
    <x v="5"/>
    <n v="9"/>
    <n v="533.92999999999995"/>
    <s v="Store D"/>
    <x v="1"/>
    <n v="0.15"/>
    <x v="2"/>
    <n v="4084.5645"/>
    <x v="1"/>
    <m/>
    <n v="0"/>
    <s v="REG101416"/>
    <s v="Cust 6355"/>
    <n v="34.76"/>
    <x v="176"/>
    <d v="2025-07-03T00:00:00"/>
    <s v="Wendy"/>
  </r>
  <r>
    <d v="2024-04-01T00:00:00"/>
    <x v="4"/>
    <x v="2"/>
    <n v="7"/>
    <n v="241.35"/>
    <s v="Store B"/>
    <x v="0"/>
    <n v="0.1"/>
    <x v="4"/>
    <n v="1520.5050000000001"/>
    <x v="2"/>
    <s v="SAVE10"/>
    <n v="0"/>
    <s v="REG101417"/>
    <s v="Cust 6620"/>
    <n v="42.43"/>
    <x v="204"/>
    <d v="2024-04-10T00:00:00"/>
    <s v="Wendy"/>
  </r>
  <r>
    <d v="2024-06-04T00:00:00"/>
    <x v="2"/>
    <x v="5"/>
    <n v="11"/>
    <n v="160.37"/>
    <s v="Store B"/>
    <x v="0"/>
    <n v="0.05"/>
    <x v="3"/>
    <n v="1675.8665000000001"/>
    <x v="4"/>
    <m/>
    <n v="0"/>
    <s v="REG101418"/>
    <s v="Cust 4092"/>
    <n v="36.049999999999997"/>
    <x v="44"/>
    <d v="2024-06-14T00:00:00"/>
    <s v="Ryan"/>
  </r>
  <r>
    <d v="2023-03-30T00:00:00"/>
    <x v="0"/>
    <x v="5"/>
    <n v="1"/>
    <n v="419.1"/>
    <s v="Store B"/>
    <x v="0"/>
    <n v="0.1"/>
    <x v="3"/>
    <n v="377.19000000000011"/>
    <x v="1"/>
    <s v="SAVE10"/>
    <n v="1"/>
    <s v="REG101419"/>
    <s v="Cust 4812"/>
    <n v="38.81"/>
    <x v="306"/>
    <d v="2023-04-06T00:00:00"/>
    <s v="Eric"/>
  </r>
  <r>
    <d v="2025-03-26T00:00:00"/>
    <x v="0"/>
    <x v="0"/>
    <n v="13"/>
    <n v="138.72"/>
    <s v="Store D"/>
    <x v="0"/>
    <n v="0.15"/>
    <x v="3"/>
    <n v="1532.856"/>
    <x v="4"/>
    <s v="WINTER15"/>
    <n v="1"/>
    <s v="REG101420"/>
    <s v="Cust 8389"/>
    <n v="17.89"/>
    <x v="582"/>
    <d v="2025-03-28T00:00:00"/>
    <s v="Eric"/>
  </r>
  <r>
    <d v="2023-08-22T00:00:00"/>
    <x v="4"/>
    <x v="4"/>
    <n v="8"/>
    <n v="461.04"/>
    <s v="Store B"/>
    <x v="1"/>
    <n v="0"/>
    <x v="1"/>
    <n v="3688.32"/>
    <x v="0"/>
    <s v="FREESHIP"/>
    <n v="0"/>
    <s v="REG101421"/>
    <s v="Cust 4529"/>
    <n v="13.62"/>
    <x v="530"/>
    <d v="2023-08-24T00:00:00"/>
    <s v="Wendy"/>
  </r>
  <r>
    <d v="2024-04-16T00:00:00"/>
    <x v="1"/>
    <x v="1"/>
    <n v="6"/>
    <n v="524.19000000000005"/>
    <s v="Store D"/>
    <x v="1"/>
    <n v="0.15"/>
    <x v="2"/>
    <n v="2673.3690000000001"/>
    <x v="4"/>
    <s v="WINTER15"/>
    <n v="0"/>
    <s v="REG101422"/>
    <s v="Cust 2365"/>
    <n v="31.04"/>
    <x v="683"/>
    <d v="2024-04-20T00:00:00"/>
    <s v="Sophie"/>
  </r>
  <r>
    <d v="2025-05-11T00:00:00"/>
    <x v="3"/>
    <x v="3"/>
    <n v="16"/>
    <n v="305.20999999999998"/>
    <s v="Store A"/>
    <x v="0"/>
    <n v="0.1"/>
    <x v="1"/>
    <n v="4395.0239999999994"/>
    <x v="3"/>
    <s v="SAVE10"/>
    <n v="0"/>
    <s v="REG101423"/>
    <s v="Cust 6361"/>
    <n v="33.369999999999997"/>
    <x v="15"/>
    <d v="2025-05-19T00:00:00"/>
    <s v="Cameron"/>
  </r>
  <r>
    <d v="2023-12-11T00:00:00"/>
    <x v="2"/>
    <x v="6"/>
    <n v="16"/>
    <n v="438.71"/>
    <s v="Store C"/>
    <x v="1"/>
    <n v="0"/>
    <x v="1"/>
    <n v="7019.36"/>
    <x v="0"/>
    <m/>
    <n v="0"/>
    <s v="REG101424"/>
    <s v="Cust 4228"/>
    <n v="6.53"/>
    <x v="464"/>
    <d v="2023-12-21T00:00:00"/>
    <s v="Ryan"/>
  </r>
  <r>
    <d v="2023-01-16T00:00:00"/>
    <x v="2"/>
    <x v="6"/>
    <n v="10"/>
    <n v="193.96"/>
    <s v="Store D"/>
    <x v="0"/>
    <n v="0.1"/>
    <x v="1"/>
    <n v="1745.64"/>
    <x v="1"/>
    <m/>
    <n v="0"/>
    <s v="REG101425"/>
    <s v="Cust 3940"/>
    <n v="41.3"/>
    <x v="375"/>
    <d v="2023-01-21T00:00:00"/>
    <s v="Ryan"/>
  </r>
  <r>
    <d v="2023-05-10T00:00:00"/>
    <x v="0"/>
    <x v="1"/>
    <n v="18"/>
    <n v="580.41999999999996"/>
    <s v="Store A"/>
    <x v="0"/>
    <n v="0.05"/>
    <x v="5"/>
    <n v="9925.1819999999989"/>
    <x v="0"/>
    <s v="SAVE10"/>
    <n v="0"/>
    <s v="REG101426"/>
    <s v="Cust 4392"/>
    <n v="37.81"/>
    <x v="2"/>
    <d v="2023-05-17T00:00:00"/>
    <s v="Eric"/>
  </r>
  <r>
    <d v="2024-06-22T00:00:00"/>
    <x v="3"/>
    <x v="4"/>
    <n v="18"/>
    <n v="91.55"/>
    <s v="Store C"/>
    <x v="1"/>
    <n v="0.1"/>
    <x v="1"/>
    <n v="1483.11"/>
    <x v="3"/>
    <s v="FREESHIP"/>
    <n v="0"/>
    <s v="REG101427"/>
    <s v="Cust 4404"/>
    <n v="32.54"/>
    <x v="728"/>
    <d v="2024-06-29T00:00:00"/>
    <s v="Cameron"/>
  </r>
  <r>
    <d v="2025-03-29T00:00:00"/>
    <x v="4"/>
    <x v="5"/>
    <n v="13"/>
    <n v="113.78"/>
    <s v="Store C"/>
    <x v="0"/>
    <n v="0.1"/>
    <x v="0"/>
    <n v="1331.2260000000001"/>
    <x v="0"/>
    <s v="FREESHIP"/>
    <n v="0"/>
    <s v="REG101428"/>
    <s v="Cust 2981"/>
    <n v="28.07"/>
    <x v="259"/>
    <d v="2025-04-07T00:00:00"/>
    <s v="Wendy"/>
  </r>
  <r>
    <d v="2023-04-18T00:00:00"/>
    <x v="2"/>
    <x v="5"/>
    <n v="16"/>
    <n v="477.91"/>
    <s v="Store A"/>
    <x v="0"/>
    <n v="0"/>
    <x v="3"/>
    <n v="7646.56"/>
    <x v="2"/>
    <s v="WINTER15"/>
    <n v="0"/>
    <s v="REG101429"/>
    <s v="Cust 3571"/>
    <n v="21.89"/>
    <x v="625"/>
    <d v="2023-04-23T00:00:00"/>
    <s v="Ryan"/>
  </r>
  <r>
    <d v="2023-02-07T00:00:00"/>
    <x v="3"/>
    <x v="0"/>
    <n v="14"/>
    <n v="306.39"/>
    <s v="Store A"/>
    <x v="1"/>
    <n v="0.1"/>
    <x v="0"/>
    <n v="3860.5140000000001"/>
    <x v="4"/>
    <s v="WINTER15"/>
    <n v="0"/>
    <s v="REG101430"/>
    <s v="Cust 2592"/>
    <n v="38.729999999999997"/>
    <x v="230"/>
    <d v="2023-02-09T00:00:00"/>
    <s v="Cameron"/>
  </r>
  <r>
    <d v="2025-01-22T00:00:00"/>
    <x v="0"/>
    <x v="5"/>
    <n v="17"/>
    <n v="8.33"/>
    <s v="Store A"/>
    <x v="1"/>
    <n v="0.05"/>
    <x v="0"/>
    <n v="134.52950000000001"/>
    <x v="4"/>
    <m/>
    <n v="0"/>
    <s v="REG101431"/>
    <s v="Cust 6209"/>
    <n v="43.29"/>
    <x v="729"/>
    <d v="2025-01-25T00:00:00"/>
    <s v="Eric"/>
  </r>
  <r>
    <d v="2023-07-04T00:00:00"/>
    <x v="0"/>
    <x v="1"/>
    <n v="6"/>
    <n v="346.86"/>
    <s v="Store C"/>
    <x v="1"/>
    <n v="0.05"/>
    <x v="0"/>
    <n v="1977.1020000000001"/>
    <x v="1"/>
    <s v="FREESHIP"/>
    <n v="0"/>
    <s v="REG101432"/>
    <s v="Cust 6600"/>
    <n v="29.18"/>
    <x v="250"/>
    <d v="2023-07-12T00:00:00"/>
    <s v="Eric"/>
  </r>
  <r>
    <d v="2023-07-31T00:00:00"/>
    <x v="3"/>
    <x v="2"/>
    <n v="14"/>
    <n v="223.26"/>
    <s v="Store B"/>
    <x v="0"/>
    <n v="0.1"/>
    <x v="1"/>
    <n v="2813.076"/>
    <x v="2"/>
    <s v="WINTER15"/>
    <n v="0"/>
    <s v="REG101433"/>
    <s v="Cust 6899"/>
    <n v="12.88"/>
    <x v="65"/>
    <d v="2023-08-03T00:00:00"/>
    <s v="Cameron"/>
  </r>
  <r>
    <d v="2023-04-20T00:00:00"/>
    <x v="2"/>
    <x v="2"/>
    <n v="6"/>
    <n v="529.1"/>
    <s v="Store D"/>
    <x v="0"/>
    <n v="0"/>
    <x v="0"/>
    <n v="3174.6"/>
    <x v="3"/>
    <s v="WINTER15"/>
    <n v="0"/>
    <s v="REG101434"/>
    <s v="Cust 1563"/>
    <n v="5.13"/>
    <x v="730"/>
    <d v="2023-04-27T00:00:00"/>
    <s v="Ryan"/>
  </r>
  <r>
    <d v="2024-10-08T00:00:00"/>
    <x v="3"/>
    <x v="5"/>
    <n v="11"/>
    <n v="97.34"/>
    <s v="Store D"/>
    <x v="0"/>
    <n v="0.1"/>
    <x v="3"/>
    <n v="963.66600000000005"/>
    <x v="3"/>
    <s v="SAVE10"/>
    <n v="0"/>
    <s v="REG101435"/>
    <s v="Cust 6733"/>
    <n v="10.61"/>
    <x v="485"/>
    <d v="2024-10-11T00:00:00"/>
    <s v="Cameron"/>
  </r>
  <r>
    <d v="2024-01-25T00:00:00"/>
    <x v="0"/>
    <x v="3"/>
    <n v="11"/>
    <n v="422.89"/>
    <s v="Store B"/>
    <x v="1"/>
    <n v="0.1"/>
    <x v="2"/>
    <n v="4186.6109999999999"/>
    <x v="2"/>
    <s v="SAVE10"/>
    <n v="0"/>
    <s v="REG101436"/>
    <s v="Cust 7635"/>
    <n v="45.89"/>
    <x v="109"/>
    <d v="2024-01-27T00:00:00"/>
    <s v="Eric"/>
  </r>
  <r>
    <d v="2024-12-16T00:00:00"/>
    <x v="1"/>
    <x v="4"/>
    <n v="4"/>
    <n v="557.16999999999996"/>
    <s v="Store C"/>
    <x v="0"/>
    <n v="0.05"/>
    <x v="2"/>
    <n v="2117.2460000000001"/>
    <x v="2"/>
    <m/>
    <n v="0"/>
    <s v="REG101437"/>
    <s v="Cust 4354"/>
    <n v="32.159999999999997"/>
    <x v="284"/>
    <d v="2024-12-25T00:00:00"/>
    <s v="Sophie"/>
  </r>
  <r>
    <d v="2024-10-24T00:00:00"/>
    <x v="3"/>
    <x v="6"/>
    <n v="9"/>
    <n v="459.65"/>
    <s v="Store B"/>
    <x v="1"/>
    <n v="0.1"/>
    <x v="5"/>
    <n v="3723.165"/>
    <x v="1"/>
    <s v="WINTER15"/>
    <n v="1"/>
    <s v="REG101438"/>
    <s v="Cust 1462"/>
    <n v="22.24"/>
    <x v="408"/>
    <d v="2024-11-01T00:00:00"/>
    <s v="Cameron"/>
  </r>
  <r>
    <d v="2023-11-16T00:00:00"/>
    <x v="4"/>
    <x v="4"/>
    <n v="8"/>
    <n v="493.35"/>
    <s v="Store A"/>
    <x v="1"/>
    <n v="0.1"/>
    <x v="1"/>
    <n v="3552.12"/>
    <x v="4"/>
    <s v="FREESHIP"/>
    <n v="1"/>
    <s v="REG101439"/>
    <s v="Cust 1376"/>
    <n v="12.86"/>
    <x v="346"/>
    <d v="2023-11-20T00:00:00"/>
    <s v="Wendy"/>
  </r>
  <r>
    <d v="2024-03-31T00:00:00"/>
    <x v="1"/>
    <x v="0"/>
    <n v="13"/>
    <n v="428.59"/>
    <s v="Store D"/>
    <x v="1"/>
    <n v="0"/>
    <x v="5"/>
    <n v="5571.67"/>
    <x v="4"/>
    <s v="FREESHIP"/>
    <n v="0"/>
    <s v="REG101440"/>
    <s v="Cust 6542"/>
    <n v="23.89"/>
    <x v="199"/>
    <d v="2024-04-08T00:00:00"/>
    <s v="Sophie"/>
  </r>
  <r>
    <d v="2023-02-13T00:00:00"/>
    <x v="0"/>
    <x v="0"/>
    <n v="7"/>
    <n v="242.11"/>
    <s v="Store C"/>
    <x v="0"/>
    <n v="0.05"/>
    <x v="0"/>
    <n v="1610.0315000000001"/>
    <x v="3"/>
    <s v="WINTER15"/>
    <n v="0"/>
    <s v="REG101441"/>
    <s v="Cust 1186"/>
    <n v="47.19"/>
    <x v="278"/>
    <d v="2023-02-18T00:00:00"/>
    <s v="Eric"/>
  </r>
  <r>
    <d v="2023-09-20T00:00:00"/>
    <x v="1"/>
    <x v="5"/>
    <n v="17"/>
    <n v="477.38"/>
    <s v="Store C"/>
    <x v="1"/>
    <n v="0.05"/>
    <x v="1"/>
    <n v="7709.6869999999999"/>
    <x v="1"/>
    <s v="FREESHIP"/>
    <n v="0"/>
    <s v="REG101442"/>
    <s v="Cust 4386"/>
    <n v="35.28"/>
    <x v="567"/>
    <d v="2023-09-27T00:00:00"/>
    <s v="Sophie"/>
  </r>
  <r>
    <d v="2023-06-27T00:00:00"/>
    <x v="1"/>
    <x v="3"/>
    <n v="3"/>
    <n v="261.60000000000002"/>
    <s v="Store D"/>
    <x v="1"/>
    <n v="0.05"/>
    <x v="4"/>
    <n v="745.56000000000006"/>
    <x v="4"/>
    <s v="WINTER15"/>
    <n v="0"/>
    <s v="REG101443"/>
    <s v="Cust 6708"/>
    <n v="42.11"/>
    <x v="161"/>
    <d v="2023-07-07T00:00:00"/>
    <s v="Sophie"/>
  </r>
  <r>
    <d v="2025-04-02T00:00:00"/>
    <x v="3"/>
    <x v="0"/>
    <n v="6"/>
    <n v="416.2"/>
    <s v="Store A"/>
    <x v="0"/>
    <n v="0.05"/>
    <x v="1"/>
    <n v="2372.34"/>
    <x v="4"/>
    <s v="WINTER15"/>
    <n v="1"/>
    <s v="REG101444"/>
    <s v="Cust 6354"/>
    <n v="44.14"/>
    <x v="177"/>
    <d v="2025-04-06T00:00:00"/>
    <s v="Cameron"/>
  </r>
  <r>
    <d v="2025-04-16T00:00:00"/>
    <x v="2"/>
    <x v="6"/>
    <n v="15"/>
    <n v="99.66"/>
    <s v="Store A"/>
    <x v="0"/>
    <n v="0"/>
    <x v="0"/>
    <n v="1494.9"/>
    <x v="4"/>
    <s v="FREESHIP"/>
    <n v="0"/>
    <s v="REG101445"/>
    <s v="Cust 3477"/>
    <n v="27.55"/>
    <x v="454"/>
    <d v="2025-04-26T00:00:00"/>
    <s v="Ryan"/>
  </r>
  <r>
    <d v="2024-07-09T00:00:00"/>
    <x v="3"/>
    <x v="0"/>
    <n v="16"/>
    <n v="55.56"/>
    <s v="Store D"/>
    <x v="0"/>
    <n v="0.15"/>
    <x v="2"/>
    <n v="755.61599999999999"/>
    <x v="4"/>
    <m/>
    <n v="1"/>
    <s v="REG101446"/>
    <s v="Cust 6646"/>
    <n v="17.809999999999999"/>
    <x v="540"/>
    <d v="2024-07-17T00:00:00"/>
    <s v="Cameron"/>
  </r>
  <r>
    <d v="2025-06-23T00:00:00"/>
    <x v="0"/>
    <x v="1"/>
    <n v="20"/>
    <n v="243.47"/>
    <s v="Store A"/>
    <x v="0"/>
    <n v="0.05"/>
    <x v="1"/>
    <n v="4625.9299999999994"/>
    <x v="1"/>
    <s v="FREESHIP"/>
    <n v="1"/>
    <s v="REG101447"/>
    <s v="Cust 4250"/>
    <n v="32.28"/>
    <x v="731"/>
    <d v="2025-07-03T00:00:00"/>
    <s v="Eric"/>
  </r>
  <r>
    <d v="2024-06-09T00:00:00"/>
    <x v="0"/>
    <x v="5"/>
    <n v="11"/>
    <n v="185.59"/>
    <s v="Store B"/>
    <x v="1"/>
    <n v="0.1"/>
    <x v="3"/>
    <n v="1837.3409999999999"/>
    <x v="1"/>
    <m/>
    <n v="0"/>
    <s v="REG101448"/>
    <s v="Cust 5351"/>
    <n v="45.19"/>
    <x v="732"/>
    <d v="2024-06-18T00:00:00"/>
    <s v="Eric"/>
  </r>
  <r>
    <d v="2023-12-01T00:00:00"/>
    <x v="3"/>
    <x v="2"/>
    <n v="11"/>
    <n v="347.38"/>
    <s v="Store C"/>
    <x v="0"/>
    <n v="0.05"/>
    <x v="0"/>
    <n v="3630.1210000000001"/>
    <x v="2"/>
    <s v="FREESHIP"/>
    <n v="0"/>
    <s v="REG101449"/>
    <s v="Cust 6284"/>
    <n v="24.8"/>
    <x v="112"/>
    <d v="2023-12-03T00:00:00"/>
    <s v="Cameron"/>
  </r>
  <r>
    <d v="2024-07-24T00:00:00"/>
    <x v="4"/>
    <x v="5"/>
    <n v="15"/>
    <n v="318.02999999999997"/>
    <s v="Store D"/>
    <x v="1"/>
    <n v="0.05"/>
    <x v="4"/>
    <n v="4531.9274999999998"/>
    <x v="1"/>
    <s v="WINTER15"/>
    <n v="1"/>
    <s v="REG101450"/>
    <s v="Cust 9099"/>
    <n v="24.38"/>
    <x v="733"/>
    <d v="2024-07-30T00:00:00"/>
    <s v="Wendy"/>
  </r>
  <r>
    <d v="2023-04-12T00:00:00"/>
    <x v="4"/>
    <x v="3"/>
    <n v="15"/>
    <n v="242.35"/>
    <s v="Store D"/>
    <x v="0"/>
    <n v="0.15"/>
    <x v="4"/>
    <n v="3089.9625000000001"/>
    <x v="4"/>
    <s v="WINTER15"/>
    <n v="1"/>
    <s v="REG101451"/>
    <s v="Cust 3944"/>
    <n v="14.92"/>
    <x v="264"/>
    <d v="2023-04-19T00:00:00"/>
    <s v="Wendy"/>
  </r>
  <r>
    <d v="2024-12-17T00:00:00"/>
    <x v="2"/>
    <x v="2"/>
    <n v="3"/>
    <n v="82.09"/>
    <s v="Store B"/>
    <x v="1"/>
    <n v="0.15"/>
    <x v="0"/>
    <n v="209.3295"/>
    <x v="1"/>
    <s v="WINTER15"/>
    <n v="1"/>
    <s v="REG101452"/>
    <s v="Cust 6124"/>
    <n v="12.63"/>
    <x v="441"/>
    <d v="2024-12-26T00:00:00"/>
    <s v="Ryan"/>
  </r>
  <r>
    <d v="2024-08-08T00:00:00"/>
    <x v="1"/>
    <x v="4"/>
    <n v="10"/>
    <n v="285.73"/>
    <s v="Store D"/>
    <x v="0"/>
    <n v="0.15"/>
    <x v="0"/>
    <n v="2428.7049999999999"/>
    <x v="4"/>
    <s v="WINTER15"/>
    <n v="1"/>
    <s v="REG101453"/>
    <s v="Cust 8533"/>
    <n v="26.68"/>
    <x v="669"/>
    <d v="2024-08-14T00:00:00"/>
    <s v="Sophie"/>
  </r>
  <r>
    <d v="2024-09-15T00:00:00"/>
    <x v="0"/>
    <x v="0"/>
    <n v="17"/>
    <n v="341.52"/>
    <s v="Store C"/>
    <x v="0"/>
    <n v="0.1"/>
    <x v="0"/>
    <n v="5225.2560000000003"/>
    <x v="2"/>
    <s v="FREESHIP"/>
    <n v="0"/>
    <s v="REG101454"/>
    <s v="Cust 1135"/>
    <n v="16.670000000000002"/>
    <x v="564"/>
    <d v="2024-09-22T00:00:00"/>
    <s v="Eric"/>
  </r>
  <r>
    <d v="2023-10-08T00:00:00"/>
    <x v="1"/>
    <x v="5"/>
    <n v="14"/>
    <n v="216.4"/>
    <s v="Store D"/>
    <x v="0"/>
    <n v="0.1"/>
    <x v="4"/>
    <n v="2726.64"/>
    <x v="3"/>
    <s v="WINTER15"/>
    <n v="0"/>
    <s v="REG101455"/>
    <s v="Cust 5638"/>
    <n v="40.74"/>
    <x v="734"/>
    <d v="2023-10-10T00:00:00"/>
    <s v="Sophie"/>
  </r>
  <r>
    <d v="2025-05-23T00:00:00"/>
    <x v="1"/>
    <x v="1"/>
    <n v="16"/>
    <n v="231.76"/>
    <s v="Store B"/>
    <x v="1"/>
    <n v="0.15"/>
    <x v="5"/>
    <n v="3151.9360000000001"/>
    <x v="0"/>
    <s v="WINTER15"/>
    <n v="1"/>
    <s v="REG101456"/>
    <s v="Cust 1333"/>
    <n v="9.42"/>
    <x v="549"/>
    <d v="2025-05-27T00:00:00"/>
    <s v="Sophie"/>
  </r>
  <r>
    <d v="2023-01-02T00:00:00"/>
    <x v="1"/>
    <x v="0"/>
    <n v="7"/>
    <n v="61.47"/>
    <s v="Store C"/>
    <x v="1"/>
    <n v="0.15"/>
    <x v="0"/>
    <n v="365.74650000000003"/>
    <x v="0"/>
    <s v="FREESHIP"/>
    <n v="0"/>
    <s v="REG101457"/>
    <s v="Cust 2394"/>
    <n v="14.44"/>
    <x v="735"/>
    <d v="2023-01-12T00:00:00"/>
    <s v="Sophie"/>
  </r>
  <r>
    <d v="2023-10-19T00:00:00"/>
    <x v="2"/>
    <x v="2"/>
    <n v="15"/>
    <n v="434.44"/>
    <s v="Store B"/>
    <x v="0"/>
    <n v="0"/>
    <x v="5"/>
    <n v="6516.6"/>
    <x v="3"/>
    <m/>
    <n v="1"/>
    <s v="REG101458"/>
    <s v="Cust 8495"/>
    <n v="33.86"/>
    <x v="544"/>
    <d v="2023-10-28T00:00:00"/>
    <s v="Ryan"/>
  </r>
  <r>
    <d v="2025-04-25T00:00:00"/>
    <x v="4"/>
    <x v="3"/>
    <n v="16"/>
    <n v="484.01"/>
    <s v="Store A"/>
    <x v="0"/>
    <n v="0"/>
    <x v="1"/>
    <n v="7744.16"/>
    <x v="0"/>
    <s v="SAVE10"/>
    <n v="1"/>
    <s v="REG101459"/>
    <s v="Cust 3988"/>
    <n v="9.65"/>
    <x v="659"/>
    <d v="2025-05-01T00:00:00"/>
    <s v="Wendy"/>
  </r>
  <r>
    <d v="2024-03-31T00:00:00"/>
    <x v="3"/>
    <x v="2"/>
    <n v="2"/>
    <n v="55.08"/>
    <s v="Store C"/>
    <x v="0"/>
    <n v="0"/>
    <x v="2"/>
    <n v="110.16"/>
    <x v="2"/>
    <s v="FREESHIP"/>
    <n v="0"/>
    <s v="REG101460"/>
    <s v="Cust 4664"/>
    <n v="9.85"/>
    <x v="199"/>
    <d v="2024-04-04T00:00:00"/>
    <s v="Cameron"/>
  </r>
  <r>
    <d v="2025-01-31T00:00:00"/>
    <x v="2"/>
    <x v="6"/>
    <n v="13"/>
    <n v="223.44"/>
    <s v="Store B"/>
    <x v="1"/>
    <n v="0.15"/>
    <x v="3"/>
    <n v="2469.0120000000002"/>
    <x v="2"/>
    <m/>
    <n v="1"/>
    <s v="REG101461"/>
    <s v="Cust 5086"/>
    <n v="38.46"/>
    <x v="94"/>
    <d v="2025-02-07T00:00:00"/>
    <s v="Ryan"/>
  </r>
  <r>
    <d v="2025-03-27T00:00:00"/>
    <x v="0"/>
    <x v="1"/>
    <n v="11"/>
    <n v="548.08000000000004"/>
    <s v="Store D"/>
    <x v="0"/>
    <n v="0.05"/>
    <x v="0"/>
    <n v="5727.4359999999997"/>
    <x v="4"/>
    <m/>
    <n v="0"/>
    <s v="REG101462"/>
    <s v="Cust 8858"/>
    <n v="25.82"/>
    <x v="166"/>
    <d v="2025-04-06T00:00:00"/>
    <s v="Eric"/>
  </r>
  <r>
    <d v="2025-01-19T00:00:00"/>
    <x v="3"/>
    <x v="2"/>
    <n v="11"/>
    <n v="133.63999999999999"/>
    <s v="Store D"/>
    <x v="0"/>
    <n v="0"/>
    <x v="4"/>
    <n v="1470.04"/>
    <x v="3"/>
    <m/>
    <n v="1"/>
    <s v="REG101463"/>
    <s v="Cust 8796"/>
    <n v="30.18"/>
    <x v="423"/>
    <d v="2025-01-24T00:00:00"/>
    <s v="Cameron"/>
  </r>
  <r>
    <d v="2024-05-16T00:00:00"/>
    <x v="2"/>
    <x v="3"/>
    <n v="19"/>
    <n v="368.85"/>
    <s v="Store C"/>
    <x v="1"/>
    <n v="0.1"/>
    <x v="5"/>
    <n v="6307.3350000000009"/>
    <x v="1"/>
    <s v="FREESHIP"/>
    <n v="0"/>
    <s v="REG101464"/>
    <s v="Cust 2496"/>
    <n v="35.369999999999997"/>
    <x v="494"/>
    <d v="2024-05-21T00:00:00"/>
    <s v="Ryan"/>
  </r>
  <r>
    <d v="2023-09-04T00:00:00"/>
    <x v="3"/>
    <x v="3"/>
    <n v="14"/>
    <n v="115.98"/>
    <s v="Store A"/>
    <x v="0"/>
    <n v="0"/>
    <x v="5"/>
    <n v="1623.72"/>
    <x v="3"/>
    <m/>
    <n v="0"/>
    <s v="REG101465"/>
    <s v="Cust 5465"/>
    <n v="31.85"/>
    <x v="736"/>
    <d v="2023-09-06T00:00:00"/>
    <s v="Cameron"/>
  </r>
  <r>
    <d v="2023-12-17T00:00:00"/>
    <x v="1"/>
    <x v="4"/>
    <n v="9"/>
    <n v="55.04"/>
    <s v="Store B"/>
    <x v="1"/>
    <n v="0.15"/>
    <x v="1"/>
    <n v="421.05599999999998"/>
    <x v="0"/>
    <m/>
    <n v="0"/>
    <s v="REG101466"/>
    <s v="Cust 2311"/>
    <n v="31.09"/>
    <x v="737"/>
    <d v="2023-12-23T00:00:00"/>
    <s v="Sophie"/>
  </r>
  <r>
    <d v="2024-01-15T00:00:00"/>
    <x v="3"/>
    <x v="4"/>
    <n v="4"/>
    <n v="159.54"/>
    <s v="Store A"/>
    <x v="0"/>
    <n v="0.05"/>
    <x v="1"/>
    <n v="606.25199999999995"/>
    <x v="2"/>
    <s v="FREESHIP"/>
    <n v="0"/>
    <s v="REG101467"/>
    <s v="Cust 4575"/>
    <n v="32.36"/>
    <x v="481"/>
    <d v="2024-01-21T00:00:00"/>
    <s v="Cameron"/>
  </r>
  <r>
    <d v="2024-12-19T00:00:00"/>
    <x v="3"/>
    <x v="0"/>
    <n v="15"/>
    <n v="150.15"/>
    <s v="Store C"/>
    <x v="1"/>
    <n v="0"/>
    <x v="2"/>
    <n v="2252.25"/>
    <x v="0"/>
    <s v="WINTER15"/>
    <n v="0"/>
    <s v="REG101468"/>
    <s v="Cust 8054"/>
    <n v="35.94"/>
    <x v="1"/>
    <d v="2024-12-29T00:00:00"/>
    <s v="Cameron"/>
  </r>
  <r>
    <d v="2023-12-16T00:00:00"/>
    <x v="2"/>
    <x v="3"/>
    <n v="9"/>
    <n v="57.93"/>
    <s v="Store C"/>
    <x v="0"/>
    <n v="0"/>
    <x v="5"/>
    <n v="521.37"/>
    <x v="1"/>
    <s v="FREESHIP"/>
    <n v="1"/>
    <s v="REG101469"/>
    <s v="Cust 2553"/>
    <n v="28.73"/>
    <x v="77"/>
    <d v="2023-12-18T00:00:00"/>
    <s v="Ryan"/>
  </r>
  <r>
    <d v="2025-05-14T00:00:00"/>
    <x v="3"/>
    <x v="0"/>
    <n v="4"/>
    <n v="438.58"/>
    <s v="Store D"/>
    <x v="1"/>
    <n v="0.05"/>
    <x v="1"/>
    <n v="1666.604"/>
    <x v="0"/>
    <s v="WINTER15"/>
    <n v="0"/>
    <s v="REG101470"/>
    <s v="Cust 7547"/>
    <n v="5.0999999999999996"/>
    <x v="707"/>
    <d v="2025-05-18T00:00:00"/>
    <s v="Cameron"/>
  </r>
  <r>
    <d v="2023-06-30T00:00:00"/>
    <x v="1"/>
    <x v="4"/>
    <n v="6"/>
    <n v="536.24"/>
    <s v="Store D"/>
    <x v="1"/>
    <n v="0"/>
    <x v="4"/>
    <n v="3217.44"/>
    <x v="4"/>
    <s v="WINTER15"/>
    <n v="0"/>
    <s v="REG101471"/>
    <s v="Cust 8150"/>
    <n v="35.32"/>
    <x v="43"/>
    <d v="2023-07-02T00:00:00"/>
    <s v="Sophie"/>
  </r>
  <r>
    <d v="2025-06-30T00:00:00"/>
    <x v="1"/>
    <x v="1"/>
    <n v="20"/>
    <n v="444.77"/>
    <s v="Store B"/>
    <x v="0"/>
    <n v="0.1"/>
    <x v="4"/>
    <n v="8005.86"/>
    <x v="0"/>
    <m/>
    <n v="1"/>
    <s v="REG101472"/>
    <s v="Cust 5635"/>
    <n v="20.05"/>
    <x v="148"/>
    <d v="2025-07-07T00:00:00"/>
    <s v="Sophie"/>
  </r>
  <r>
    <d v="2025-03-14T00:00:00"/>
    <x v="3"/>
    <x v="6"/>
    <n v="10"/>
    <n v="212.1"/>
    <s v="Store B"/>
    <x v="1"/>
    <n v="0.15"/>
    <x v="0"/>
    <n v="1802.85"/>
    <x v="1"/>
    <s v="WINTER15"/>
    <n v="0"/>
    <s v="REG101473"/>
    <s v="Cust 4360"/>
    <n v="47.93"/>
    <x v="95"/>
    <d v="2025-03-22T00:00:00"/>
    <s v="Cameron"/>
  </r>
  <r>
    <d v="2023-04-18T00:00:00"/>
    <x v="1"/>
    <x v="1"/>
    <n v="9"/>
    <n v="509.44"/>
    <s v="Store B"/>
    <x v="1"/>
    <n v="0.15"/>
    <x v="0"/>
    <n v="3897.2159999999999"/>
    <x v="2"/>
    <s v="SAVE10"/>
    <n v="0"/>
    <s v="REG101474"/>
    <s v="Cust 1624"/>
    <n v="13"/>
    <x v="625"/>
    <d v="2023-04-27T00:00:00"/>
    <s v="Sophie"/>
  </r>
  <r>
    <d v="2024-09-11T00:00:00"/>
    <x v="4"/>
    <x v="4"/>
    <n v="8"/>
    <n v="236.17"/>
    <s v="Store C"/>
    <x v="0"/>
    <n v="0.15"/>
    <x v="2"/>
    <n v="1605.9559999999999"/>
    <x v="4"/>
    <s v="WINTER15"/>
    <n v="0"/>
    <s v="REG101475"/>
    <s v="Cust 6593"/>
    <n v="22.88"/>
    <x v="303"/>
    <d v="2024-09-19T00:00:00"/>
    <s v="Wendy"/>
  </r>
  <r>
    <d v="2023-11-21T00:00:00"/>
    <x v="3"/>
    <x v="6"/>
    <n v="1"/>
    <n v="147.4"/>
    <s v="Store D"/>
    <x v="1"/>
    <n v="0"/>
    <x v="3"/>
    <n v="147.4"/>
    <x v="4"/>
    <s v="SAVE10"/>
    <n v="1"/>
    <s v="REG101476"/>
    <s v="Cust 9072"/>
    <n v="40.47"/>
    <x v="283"/>
    <d v="2023-11-28T00:00:00"/>
    <s v="Cameron"/>
  </r>
  <r>
    <d v="2024-02-29T00:00:00"/>
    <x v="4"/>
    <x v="5"/>
    <n v="8"/>
    <n v="279.74"/>
    <s v="Store B"/>
    <x v="1"/>
    <n v="0.05"/>
    <x v="1"/>
    <n v="2126.0239999999999"/>
    <x v="1"/>
    <s v="FREESHIP"/>
    <n v="0"/>
    <s v="REG101477"/>
    <s v="Cust 1116"/>
    <n v="33.1"/>
    <x v="459"/>
    <d v="2024-03-07T00:00:00"/>
    <s v="Wendy"/>
  </r>
  <r>
    <d v="2023-05-11T00:00:00"/>
    <x v="4"/>
    <x v="0"/>
    <n v="3"/>
    <n v="304.61"/>
    <s v="Store B"/>
    <x v="0"/>
    <n v="0.05"/>
    <x v="5"/>
    <n v="868.13850000000002"/>
    <x v="4"/>
    <s v="SAVE10"/>
    <n v="0"/>
    <s v="REG101478"/>
    <s v="Cust 8458"/>
    <n v="47.14"/>
    <x v="738"/>
    <d v="2023-05-15T00:00:00"/>
    <s v="Wendy"/>
  </r>
  <r>
    <d v="2024-09-11T00:00:00"/>
    <x v="1"/>
    <x v="5"/>
    <n v="9"/>
    <n v="238.32"/>
    <s v="Store C"/>
    <x v="1"/>
    <n v="0"/>
    <x v="4"/>
    <n v="2144.88"/>
    <x v="4"/>
    <s v="WINTER15"/>
    <n v="1"/>
    <s v="REG101479"/>
    <s v="Cust 5409"/>
    <n v="8.5"/>
    <x v="303"/>
    <d v="2024-09-20T00:00:00"/>
    <s v="Sophie"/>
  </r>
  <r>
    <d v="2024-08-16T00:00:00"/>
    <x v="4"/>
    <x v="6"/>
    <n v="16"/>
    <n v="483.37"/>
    <s v="Store B"/>
    <x v="1"/>
    <n v="0.1"/>
    <x v="1"/>
    <n v="6960.5280000000002"/>
    <x v="3"/>
    <m/>
    <n v="0"/>
    <s v="REG101480"/>
    <s v="Cust 8847"/>
    <n v="42.52"/>
    <x v="739"/>
    <d v="2024-08-22T00:00:00"/>
    <s v="Wendy"/>
  </r>
  <r>
    <d v="2025-05-30T00:00:00"/>
    <x v="2"/>
    <x v="4"/>
    <n v="6"/>
    <n v="159.53"/>
    <s v="Store A"/>
    <x v="1"/>
    <n v="0.05"/>
    <x v="5"/>
    <n v="909.32100000000003"/>
    <x v="1"/>
    <m/>
    <n v="0"/>
    <s v="REG101481"/>
    <s v="Cust 7857"/>
    <n v="48.6"/>
    <x v="740"/>
    <d v="2025-06-07T00:00:00"/>
    <s v="Ryan"/>
  </r>
  <r>
    <d v="2023-08-22T00:00:00"/>
    <x v="0"/>
    <x v="2"/>
    <n v="19"/>
    <n v="280.60000000000002"/>
    <s v="Store A"/>
    <x v="0"/>
    <n v="0.1"/>
    <x v="2"/>
    <n v="4798.26"/>
    <x v="1"/>
    <s v="FREESHIP"/>
    <n v="0"/>
    <s v="REG101482"/>
    <s v="Cust 7810"/>
    <n v="35.94"/>
    <x v="530"/>
    <d v="2023-08-28T00:00:00"/>
    <s v="Eric"/>
  </r>
  <r>
    <d v="2024-01-23T00:00:00"/>
    <x v="0"/>
    <x v="5"/>
    <n v="2"/>
    <n v="389.98"/>
    <s v="Store D"/>
    <x v="0"/>
    <n v="0.05"/>
    <x v="3"/>
    <n v="740.96199999999999"/>
    <x v="3"/>
    <s v="SAVE10"/>
    <n v="1"/>
    <s v="REG101483"/>
    <s v="Cust 5665"/>
    <n v="24.55"/>
    <x v="145"/>
    <d v="2024-01-25T00:00:00"/>
    <s v="Eric"/>
  </r>
  <r>
    <d v="2023-03-16T00:00:00"/>
    <x v="2"/>
    <x v="4"/>
    <n v="17"/>
    <n v="485.3"/>
    <s v="Store D"/>
    <x v="1"/>
    <n v="0.15"/>
    <x v="4"/>
    <n v="7012.585"/>
    <x v="4"/>
    <s v="WINTER15"/>
    <n v="0"/>
    <s v="REG101484"/>
    <s v="Cust 8015"/>
    <n v="37.94"/>
    <x v="399"/>
    <d v="2023-03-23T00:00:00"/>
    <s v="Ryan"/>
  </r>
  <r>
    <d v="2025-05-16T00:00:00"/>
    <x v="1"/>
    <x v="0"/>
    <n v="4"/>
    <n v="472.24"/>
    <s v="Store D"/>
    <x v="1"/>
    <n v="0"/>
    <x v="1"/>
    <n v="1888.96"/>
    <x v="1"/>
    <s v="FREESHIP"/>
    <n v="1"/>
    <s v="REG101485"/>
    <s v="Cust 7211"/>
    <n v="6.78"/>
    <x v="120"/>
    <d v="2025-05-21T00:00:00"/>
    <s v="Sophie"/>
  </r>
  <r>
    <d v="2023-05-23T00:00:00"/>
    <x v="0"/>
    <x v="4"/>
    <n v="8"/>
    <n v="143.53"/>
    <s v="Store D"/>
    <x v="0"/>
    <n v="0"/>
    <x v="1"/>
    <n v="1148.24"/>
    <x v="4"/>
    <s v="WINTER15"/>
    <n v="0"/>
    <s v="REG101486"/>
    <s v="Cust 8705"/>
    <n v="9.1"/>
    <x v="515"/>
    <d v="2023-05-29T00:00:00"/>
    <s v="Eric"/>
  </r>
  <r>
    <d v="2024-06-16T00:00:00"/>
    <x v="2"/>
    <x v="3"/>
    <n v="5"/>
    <n v="159.91999999999999"/>
    <s v="Store B"/>
    <x v="0"/>
    <n v="0"/>
    <x v="3"/>
    <n v="799.59999999999991"/>
    <x v="4"/>
    <s v="SAVE10"/>
    <n v="0"/>
    <s v="REG101487"/>
    <s v="Cust 2905"/>
    <n v="10.86"/>
    <x v="40"/>
    <d v="2024-06-23T00:00:00"/>
    <s v="Ryan"/>
  </r>
  <r>
    <d v="2025-01-28T00:00:00"/>
    <x v="3"/>
    <x v="4"/>
    <n v="13"/>
    <n v="447.34"/>
    <s v="Store A"/>
    <x v="0"/>
    <n v="0.05"/>
    <x v="2"/>
    <n v="5524.6489999999994"/>
    <x v="4"/>
    <s v="SAVE10"/>
    <n v="0"/>
    <s v="REG101488"/>
    <s v="Cust 5777"/>
    <n v="38.93"/>
    <x v="741"/>
    <d v="2025-02-04T00:00:00"/>
    <s v="Cameron"/>
  </r>
  <r>
    <d v="2024-11-27T00:00:00"/>
    <x v="1"/>
    <x v="1"/>
    <n v="13"/>
    <n v="196.8"/>
    <s v="Store B"/>
    <x v="1"/>
    <n v="0.1"/>
    <x v="4"/>
    <n v="2302.56"/>
    <x v="4"/>
    <m/>
    <n v="0"/>
    <s v="REG101489"/>
    <s v="Cust 6695"/>
    <n v="10.119999999999999"/>
    <x v="742"/>
    <d v="2024-12-07T00:00:00"/>
    <s v="Sophie"/>
  </r>
  <r>
    <d v="2023-10-09T00:00:00"/>
    <x v="3"/>
    <x v="3"/>
    <n v="3"/>
    <n v="485.81"/>
    <s v="Store A"/>
    <x v="0"/>
    <n v="0.1"/>
    <x v="0"/>
    <n v="1311.6869999999999"/>
    <x v="3"/>
    <s v="SAVE10"/>
    <n v="0"/>
    <s v="REG101490"/>
    <s v="Cust 1977"/>
    <n v="19.46"/>
    <x v="743"/>
    <d v="2023-10-11T00:00:00"/>
    <s v="Cameron"/>
  </r>
  <r>
    <d v="2024-07-21T00:00:00"/>
    <x v="4"/>
    <x v="1"/>
    <n v="16"/>
    <n v="183.62"/>
    <s v="Store A"/>
    <x v="0"/>
    <n v="0.05"/>
    <x v="5"/>
    <n v="2791.0239999999999"/>
    <x v="1"/>
    <s v="WINTER15"/>
    <n v="0"/>
    <s v="REG101491"/>
    <s v="Cust 7979"/>
    <n v="6.56"/>
    <x v="744"/>
    <d v="2024-07-31T00:00:00"/>
    <s v="Wendy"/>
  </r>
  <r>
    <d v="2024-07-03T00:00:00"/>
    <x v="0"/>
    <x v="4"/>
    <n v="2"/>
    <n v="373.07"/>
    <s v="Store A"/>
    <x v="1"/>
    <n v="0.05"/>
    <x v="4"/>
    <n v="708.83299999999997"/>
    <x v="2"/>
    <s v="FREESHIP"/>
    <n v="0"/>
    <s v="REG101492"/>
    <s v="Cust 2437"/>
    <n v="26.9"/>
    <x v="691"/>
    <d v="2024-07-07T00:00:00"/>
    <s v="Eric"/>
  </r>
  <r>
    <d v="2024-09-24T00:00:00"/>
    <x v="4"/>
    <x v="4"/>
    <n v="17"/>
    <n v="527.67999999999995"/>
    <s v="Store B"/>
    <x v="0"/>
    <n v="0"/>
    <x v="4"/>
    <n v="8970.56"/>
    <x v="1"/>
    <s v="FREESHIP"/>
    <n v="0"/>
    <s v="REG101493"/>
    <s v="Cust 2516"/>
    <n v="29.19"/>
    <x v="745"/>
    <d v="2024-10-02T00:00:00"/>
    <s v="Wendy"/>
  </r>
  <r>
    <d v="2025-01-14T00:00:00"/>
    <x v="0"/>
    <x v="5"/>
    <n v="5"/>
    <n v="201.29"/>
    <s v="Store D"/>
    <x v="0"/>
    <n v="0"/>
    <x v="3"/>
    <n v="1006.45"/>
    <x v="0"/>
    <s v="FREESHIP"/>
    <n v="0"/>
    <s v="REG101494"/>
    <s v="Cust 6791"/>
    <n v="49.13"/>
    <x v="679"/>
    <d v="2025-01-21T00:00:00"/>
    <s v="Eric"/>
  </r>
  <r>
    <d v="2025-02-17T00:00:00"/>
    <x v="4"/>
    <x v="2"/>
    <n v="13"/>
    <n v="134.56"/>
    <s v="Store D"/>
    <x v="1"/>
    <n v="0.05"/>
    <x v="3"/>
    <n v="1661.816"/>
    <x v="2"/>
    <s v="WINTER15"/>
    <n v="0"/>
    <s v="REG101495"/>
    <s v="Cust 5227"/>
    <n v="35.630000000000003"/>
    <x v="130"/>
    <d v="2025-02-22T00:00:00"/>
    <s v="Wendy"/>
  </r>
  <r>
    <d v="2024-01-11T00:00:00"/>
    <x v="1"/>
    <x v="3"/>
    <n v="18"/>
    <n v="209.75"/>
    <s v="Store C"/>
    <x v="0"/>
    <n v="0.15"/>
    <x v="2"/>
    <n v="3209.1750000000002"/>
    <x v="3"/>
    <s v="FREESHIP"/>
    <n v="0"/>
    <s v="REG101496"/>
    <s v="Cust 5559"/>
    <n v="45.93"/>
    <x v="746"/>
    <d v="2024-01-17T00:00:00"/>
    <s v="Sophie"/>
  </r>
  <r>
    <d v="2024-07-27T00:00:00"/>
    <x v="0"/>
    <x v="2"/>
    <n v="1"/>
    <n v="272.5"/>
    <s v="Store A"/>
    <x v="0"/>
    <n v="0"/>
    <x v="0"/>
    <n v="272.5"/>
    <x v="1"/>
    <s v="WINTER15"/>
    <n v="0"/>
    <s v="REG101497"/>
    <s v="Cust 8981"/>
    <n v="35.56"/>
    <x v="480"/>
    <d v="2024-08-03T00:00:00"/>
    <s v="Eric"/>
  </r>
  <r>
    <d v="2024-12-03T00:00:00"/>
    <x v="3"/>
    <x v="4"/>
    <n v="14"/>
    <n v="262.67"/>
    <s v="Store A"/>
    <x v="1"/>
    <n v="0.05"/>
    <x v="3"/>
    <n v="3493.511"/>
    <x v="1"/>
    <s v="SAVE10"/>
    <n v="0"/>
    <s v="REG101498"/>
    <s v="Cust 1824"/>
    <n v="24.53"/>
    <x v="581"/>
    <d v="2024-12-10T00:00:00"/>
    <s v="Cameron"/>
  </r>
  <r>
    <d v="2025-05-09T00:00:00"/>
    <x v="4"/>
    <x v="3"/>
    <n v="13"/>
    <n v="221.39"/>
    <s v="Store D"/>
    <x v="0"/>
    <n v="0"/>
    <x v="2"/>
    <n v="2878.07"/>
    <x v="3"/>
    <s v="FREESHIP"/>
    <n v="1"/>
    <s v="REG101499"/>
    <s v="Cust 1935"/>
    <n v="21.05"/>
    <x v="589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D16DD-BDBB-479E-A978-699FB77E0767}" name="Сводная таблица1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 rowHeaderCaption="Sales_person">
  <location ref="J3:K9" firstHeaderRow="1" firstDataRow="1" firstDataCol="1"/>
  <pivotFields count="22">
    <pivotField numFmtId="166"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 measureFilter="1" sortType="descending">
      <items count="7">
        <item x="1"/>
        <item x="5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  <pivotField showAll="0"/>
    <pivotField showAll="0"/>
    <pivotField showAll="0"/>
    <pivotField showAll="0"/>
    <pivotField showAll="0"/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 v="1"/>
    </i>
    <i>
      <x/>
    </i>
    <i>
      <x v="5"/>
    </i>
    <i>
      <x v="2"/>
    </i>
    <i>
      <x v="4"/>
    </i>
    <i t="grand">
      <x/>
    </i>
  </rowItems>
  <colItems count="1">
    <i/>
  </colItems>
  <dataFields count="1">
    <dataField name="Sum_TotalPrice" fld="9" baseField="8" baseItem="1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9F8AD-B46E-47A8-A96B-3BE297FEC794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3" rowHeaderCaption="Sales_person">
  <location ref="A3:B9" firstHeaderRow="1" firstDataRow="1" firstDataCol="1"/>
  <pivotFields count="22">
    <pivotField numFmtId="166"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 measureFilter="1" sortType="descending">
      <items count="7">
        <item x="1"/>
        <item x="5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dataField="1" showAll="0"/>
    <pivotField showAll="0"/>
    <pivotField showAll="0"/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 v="2"/>
    </i>
    <i>
      <x/>
    </i>
    <i>
      <x v="3"/>
    </i>
    <i>
      <x v="5"/>
    </i>
    <i>
      <x v="1"/>
    </i>
    <i t="grand">
      <x/>
    </i>
  </rowItems>
  <colItems count="1">
    <i/>
  </colItems>
  <dataFields count="1">
    <dataField name="Order_ID" fld="13" subtotal="count" baseField="8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57A80-FD9E-4783-A5D5-5C3EBD748AB7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 rowHeaderCaption="Payment_Method">
  <location ref="A3:B9" firstHeaderRow="1" firstDataRow="1" firstDataCol="1"/>
  <pivotFields count="22">
    <pivotField numFmtId="166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numFmtId="165" showAll="0"/>
    <pivotField axis="axisRow" showAll="0" sortType="descending">
      <items count="6">
        <item x="4"/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AVG_check" fld="9" subtotal="average" baseField="1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3F2AF-3FA4-41AA-AB65-1144E810EA54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Order_Date">
  <location ref="A3:B7" firstHeaderRow="1" firstDataRow="1" firstDataCol="1"/>
  <pivotFields count="22">
    <pivotField numFmtId="166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axis="axisRow"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1"/>
    <field x="20"/>
    <field x="19"/>
    <field x="1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_TotalPrice" fld="9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12085-E29C-412D-BEF4-834264455585}" name="Сводная таблица1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Month">
  <location ref="A23:B36" firstHeaderRow="1" firstDataRow="1" firstDataCol="1" rowPageCount="1" colPageCount="1"/>
  <pivotFields count="22">
    <pivotField numFmtId="166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axis="axisPage"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h="1" sd="0" x="0"/>
        <item h="1" sd="0" x="1"/>
        <item sd="0" x="2"/>
        <item h="1" sd="0" x="3"/>
        <item h="1" sd="0" x="4"/>
      </items>
    </pivotField>
  </pivotFields>
  <rowFields count="2">
    <field x="19"/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6" hier="-1"/>
  </pageFields>
  <dataFields count="1">
    <dataField name="Sum_TotalPrice" fld="9" baseField="19" baseItem="1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97606-37E7-46E9-A771-8C578C5E52B2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 rowHeaderCaption="Customer_Type">
  <location ref="A3:B6" firstHeaderRow="1" firstDataRow="1" firstDataCol="1"/>
  <pivotFields count="22">
    <pivotField numFmtId="166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9" showAll="0"/>
    <pivotField showAll="0"/>
    <pivotField numFmtId="165" showAll="0"/>
    <pivotField showAll="0"/>
    <pivotField showAll="0"/>
    <pivotField showAll="0"/>
    <pivotField dataField="1" showAll="0"/>
    <pivotField showAll="0"/>
    <pivotField showAll="0"/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% OrderID" fld="13" subtotal="count" showDataAs="percentOfTotal" baseField="6" baseItem="0" numFmtId="1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60053-3D43-4FFB-A96A-158ACB6F094E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 rowHeaderCaption="Product_type">
  <location ref="A3:B11" firstHeaderRow="1" firstDataRow="1" firstDataCol="1" rowPageCount="1" colPageCount="1"/>
  <pivotFields count="22">
    <pivotField numFmtId="166" showAll="0"/>
    <pivotField axis="axisPage" showAll="0">
      <items count="6">
        <item x="3"/>
        <item x="0"/>
        <item x="2"/>
        <item x="1"/>
        <item x="4"/>
        <item t="default"/>
      </items>
    </pivotField>
    <pivotField axis="axisRow" showAll="0">
      <items count="8">
        <item x="5"/>
        <item x="6"/>
        <item x="1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9" showAll="0"/>
    <pivotField showAll="0"/>
    <pivotField numFmtId="165" showAll="0"/>
    <pivotField showAll="0"/>
    <pivotField showAll="0"/>
    <pivotField showAll="0"/>
    <pivotField showAll="0"/>
    <pivotField showAll="0"/>
    <pivotField dataField="1" showAll="0"/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8">
    <i>
      <x v="4"/>
    </i>
    <i>
      <x v="6"/>
    </i>
    <i>
      <x v="2"/>
    </i>
    <i>
      <x v="3"/>
    </i>
    <i>
      <x v="1"/>
    </i>
    <i>
      <x/>
    </i>
    <i>
      <x v="5"/>
    </i>
    <i t="grand">
      <x/>
    </i>
  </rowItems>
  <colItems count="1">
    <i/>
  </colItems>
  <pageFields count="1">
    <pageField fld="1" item="3" hier="-1"/>
  </pageFields>
  <dataFields count="1">
    <dataField name="Sum_ShippingCost" fld="15" baseField="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41A8-C388-4A06-A2BD-FFABC5AF693D}">
  <dimension ref="A3:N32"/>
  <sheetViews>
    <sheetView workbookViewId="0">
      <selection activeCell="A27" sqref="A27:N32"/>
    </sheetView>
  </sheetViews>
  <sheetFormatPr defaultRowHeight="14.4" x14ac:dyDescent="0.3"/>
  <cols>
    <col min="1" max="1" width="14.21875" bestFit="1" customWidth="1"/>
    <col min="2" max="2" width="8.5546875" bestFit="1" customWidth="1"/>
    <col min="10" max="11" width="14.21875" bestFit="1" customWidth="1"/>
    <col min="14" max="15" width="24" bestFit="1" customWidth="1"/>
  </cols>
  <sheetData>
    <row r="3" spans="1:11" x14ac:dyDescent="0.3">
      <c r="A3" s="10" t="s">
        <v>2928</v>
      </c>
      <c r="B3" t="s">
        <v>2929</v>
      </c>
      <c r="J3" s="10" t="s">
        <v>2928</v>
      </c>
      <c r="K3" t="s">
        <v>2930</v>
      </c>
    </row>
    <row r="4" spans="1:11" x14ac:dyDescent="0.3">
      <c r="A4" s="11" t="s">
        <v>40</v>
      </c>
      <c r="B4">
        <v>270</v>
      </c>
      <c r="J4" s="11" t="s">
        <v>42</v>
      </c>
      <c r="K4" s="7">
        <v>796780.52149999957</v>
      </c>
    </row>
    <row r="5" spans="1:11" x14ac:dyDescent="0.3">
      <c r="A5" s="11" t="s">
        <v>38</v>
      </c>
      <c r="B5">
        <v>259</v>
      </c>
      <c r="J5" s="11" t="s">
        <v>38</v>
      </c>
      <c r="K5" s="7">
        <v>786165.8400000002</v>
      </c>
    </row>
    <row r="6" spans="1:11" x14ac:dyDescent="0.3">
      <c r="A6" s="11" t="s">
        <v>41</v>
      </c>
      <c r="B6">
        <v>249</v>
      </c>
      <c r="J6" s="11" t="s">
        <v>39</v>
      </c>
      <c r="K6" s="7">
        <v>714641.52200000035</v>
      </c>
    </row>
    <row r="7" spans="1:11" x14ac:dyDescent="0.3">
      <c r="A7" s="11" t="s">
        <v>39</v>
      </c>
      <c r="B7">
        <v>243</v>
      </c>
      <c r="J7" s="11" t="s">
        <v>40</v>
      </c>
      <c r="K7" s="7">
        <v>707166.71600000071</v>
      </c>
    </row>
    <row r="8" spans="1:11" x14ac:dyDescent="0.3">
      <c r="A8" s="11" t="s">
        <v>42</v>
      </c>
      <c r="B8">
        <v>243</v>
      </c>
      <c r="J8" s="11" t="s">
        <v>37</v>
      </c>
      <c r="K8" s="7">
        <v>698669.57950000011</v>
      </c>
    </row>
    <row r="9" spans="1:11" x14ac:dyDescent="0.3">
      <c r="A9" s="11" t="s">
        <v>2927</v>
      </c>
      <c r="B9">
        <v>1264</v>
      </c>
      <c r="J9" s="11" t="s">
        <v>2927</v>
      </c>
      <c r="K9" s="7">
        <v>3703424.1790000009</v>
      </c>
    </row>
    <row r="27" spans="1:14" x14ac:dyDescent="0.3">
      <c r="A27" s="15" t="s">
        <v>2951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</sheetData>
  <mergeCells count="1">
    <mergeCell ref="A27:N32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8DB9-AA38-4374-B7D7-67229F4D0847}">
  <dimension ref="A3:B9"/>
  <sheetViews>
    <sheetView workbookViewId="0">
      <selection activeCell="J26" sqref="J26"/>
    </sheetView>
  </sheetViews>
  <sheetFormatPr defaultRowHeight="14.4" x14ac:dyDescent="0.3"/>
  <cols>
    <col min="1" max="1" width="18.6640625" bestFit="1" customWidth="1"/>
    <col min="2" max="2" width="10.5546875" bestFit="1" customWidth="1"/>
  </cols>
  <sheetData>
    <row r="3" spans="1:2" x14ac:dyDescent="0.3">
      <c r="A3" s="10" t="s">
        <v>2931</v>
      </c>
      <c r="B3" t="s">
        <v>2932</v>
      </c>
    </row>
    <row r="4" spans="1:2" x14ac:dyDescent="0.3">
      <c r="A4" s="11" t="s">
        <v>47</v>
      </c>
      <c r="B4" s="7">
        <v>3046.114900641026</v>
      </c>
    </row>
    <row r="5" spans="1:2" x14ac:dyDescent="0.3">
      <c r="A5" s="11" t="s">
        <v>43</v>
      </c>
      <c r="B5" s="7">
        <v>3006.5484520123855</v>
      </c>
    </row>
    <row r="6" spans="1:2" x14ac:dyDescent="0.3">
      <c r="A6" s="11" t="s">
        <v>44</v>
      </c>
      <c r="B6" s="7">
        <v>2976.7586630434803</v>
      </c>
    </row>
    <row r="7" spans="1:2" x14ac:dyDescent="0.3">
      <c r="A7" s="11" t="s">
        <v>45</v>
      </c>
      <c r="B7" s="7">
        <v>2897.9377073578612</v>
      </c>
    </row>
    <row r="8" spans="1:2" x14ac:dyDescent="0.3">
      <c r="A8" s="11" t="s">
        <v>46</v>
      </c>
      <c r="B8" s="7">
        <v>2656.6229793103462</v>
      </c>
    </row>
    <row r="9" spans="1:2" x14ac:dyDescent="0.3">
      <c r="A9" s="11" t="s">
        <v>2927</v>
      </c>
      <c r="B9" s="7">
        <v>2919.9949523333366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F6B2-313B-423C-86C6-9B53BAB63BDE}">
  <dimension ref="A3:G51"/>
  <sheetViews>
    <sheetView topLeftCell="A26" workbookViewId="0">
      <selection activeCell="K50" sqref="K50"/>
    </sheetView>
  </sheetViews>
  <sheetFormatPr defaultRowHeight="14.4" x14ac:dyDescent="0.3"/>
  <cols>
    <col min="1" max="1" width="11.33203125" bestFit="1" customWidth="1"/>
    <col min="2" max="2" width="14.21875" bestFit="1" customWidth="1"/>
  </cols>
  <sheetData>
    <row r="3" spans="1:2" x14ac:dyDescent="0.3">
      <c r="A3" s="10" t="s">
        <v>2936</v>
      </c>
      <c r="B3" t="s">
        <v>2930</v>
      </c>
    </row>
    <row r="4" spans="1:2" x14ac:dyDescent="0.3">
      <c r="A4" s="11" t="s">
        <v>2933</v>
      </c>
      <c r="B4" s="7">
        <v>1697869.9764999992</v>
      </c>
    </row>
    <row r="5" spans="1:2" x14ac:dyDescent="0.3">
      <c r="A5" s="11" t="s">
        <v>2934</v>
      </c>
      <c r="B5" s="7">
        <v>1771954.7800000021</v>
      </c>
    </row>
    <row r="6" spans="1:2" x14ac:dyDescent="0.3">
      <c r="A6" s="11" t="s">
        <v>2935</v>
      </c>
      <c r="B6" s="7">
        <v>910167.67200000072</v>
      </c>
    </row>
    <row r="7" spans="1:2" x14ac:dyDescent="0.3">
      <c r="A7" s="11" t="s">
        <v>2927</v>
      </c>
      <c r="B7" s="7">
        <v>4379992.4285000023</v>
      </c>
    </row>
    <row r="21" spans="1:2" x14ac:dyDescent="0.3">
      <c r="A21" s="10" t="s">
        <v>16</v>
      </c>
      <c r="B21" t="s">
        <v>2949</v>
      </c>
    </row>
    <row r="23" spans="1:2" x14ac:dyDescent="0.3">
      <c r="A23" s="10" t="s">
        <v>2950</v>
      </c>
      <c r="B23" t="s">
        <v>2930</v>
      </c>
    </row>
    <row r="24" spans="1:2" x14ac:dyDescent="0.3">
      <c r="A24" s="11" t="s">
        <v>2937</v>
      </c>
      <c r="B24" s="7">
        <v>174448.6735</v>
      </c>
    </row>
    <row r="25" spans="1:2" x14ac:dyDescent="0.3">
      <c r="A25" s="11" t="s">
        <v>2938</v>
      </c>
      <c r="B25" s="7">
        <v>135515.81450000001</v>
      </c>
    </row>
    <row r="26" spans="1:2" x14ac:dyDescent="0.3">
      <c r="A26" s="11" t="s">
        <v>2939</v>
      </c>
      <c r="B26" s="7">
        <v>140348.4895</v>
      </c>
    </row>
    <row r="27" spans="1:2" x14ac:dyDescent="0.3">
      <c r="A27" s="11" t="s">
        <v>2940</v>
      </c>
      <c r="B27" s="7">
        <v>165512.26349999997</v>
      </c>
    </row>
    <row r="28" spans="1:2" x14ac:dyDescent="0.3">
      <c r="A28" s="11" t="s">
        <v>2941</v>
      </c>
      <c r="B28" s="7">
        <v>132792.53300000002</v>
      </c>
    </row>
    <row r="29" spans="1:2" x14ac:dyDescent="0.3">
      <c r="A29" s="11" t="s">
        <v>2942</v>
      </c>
      <c r="B29" s="7">
        <v>163370.087</v>
      </c>
    </row>
    <row r="30" spans="1:2" x14ac:dyDescent="0.3">
      <c r="A30" s="11" t="s">
        <v>2943</v>
      </c>
      <c r="B30" s="7">
        <v>140155.70749999996</v>
      </c>
    </row>
    <row r="31" spans="1:2" x14ac:dyDescent="0.3">
      <c r="A31" s="11" t="s">
        <v>2944</v>
      </c>
      <c r="B31" s="7">
        <v>129927.50600000001</v>
      </c>
    </row>
    <row r="32" spans="1:2" x14ac:dyDescent="0.3">
      <c r="A32" s="11" t="s">
        <v>2945</v>
      </c>
      <c r="B32" s="7">
        <v>130502.60349999998</v>
      </c>
    </row>
    <row r="33" spans="1:7" x14ac:dyDescent="0.3">
      <c r="A33" s="11" t="s">
        <v>2946</v>
      </c>
      <c r="B33" s="7">
        <v>178167.19650000002</v>
      </c>
    </row>
    <row r="34" spans="1:7" x14ac:dyDescent="0.3">
      <c r="A34" s="11" t="s">
        <v>2947</v>
      </c>
      <c r="B34" s="7">
        <v>138174.285</v>
      </c>
    </row>
    <row r="35" spans="1:7" x14ac:dyDescent="0.3">
      <c r="A35" s="11" t="s">
        <v>2948</v>
      </c>
      <c r="B35" s="7">
        <v>143039.62050000002</v>
      </c>
    </row>
    <row r="36" spans="1:7" x14ac:dyDescent="0.3">
      <c r="A36" s="11" t="s">
        <v>2927</v>
      </c>
      <c r="B36" s="7">
        <v>1771954.78</v>
      </c>
    </row>
    <row r="46" spans="1:7" x14ac:dyDescent="0.3">
      <c r="A46" s="16" t="s">
        <v>2952</v>
      </c>
      <c r="B46" s="17"/>
      <c r="C46" s="17"/>
      <c r="D46" s="17"/>
      <c r="E46" s="17"/>
      <c r="F46" s="17"/>
      <c r="G46" s="17"/>
    </row>
    <row r="47" spans="1:7" x14ac:dyDescent="0.3">
      <c r="A47" s="17"/>
      <c r="B47" s="17"/>
      <c r="C47" s="17"/>
      <c r="D47" s="17"/>
      <c r="E47" s="17"/>
      <c r="F47" s="17"/>
      <c r="G47" s="17"/>
    </row>
    <row r="48" spans="1:7" x14ac:dyDescent="0.3">
      <c r="A48" s="17"/>
      <c r="B48" s="17"/>
      <c r="C48" s="17"/>
      <c r="D48" s="17"/>
      <c r="E48" s="17"/>
      <c r="F48" s="17"/>
      <c r="G48" s="17"/>
    </row>
    <row r="49" spans="1:7" x14ac:dyDescent="0.3">
      <c r="A49" s="17"/>
      <c r="B49" s="17"/>
      <c r="C49" s="17"/>
      <c r="D49" s="17"/>
      <c r="E49" s="17"/>
      <c r="F49" s="17"/>
      <c r="G49" s="17"/>
    </row>
    <row r="50" spans="1:7" x14ac:dyDescent="0.3">
      <c r="A50" s="17"/>
      <c r="B50" s="17"/>
      <c r="C50" s="17"/>
      <c r="D50" s="17"/>
      <c r="E50" s="17"/>
      <c r="F50" s="17"/>
      <c r="G50" s="17"/>
    </row>
    <row r="51" spans="1:7" x14ac:dyDescent="0.3">
      <c r="A51" s="17"/>
      <c r="B51" s="17"/>
      <c r="C51" s="17"/>
      <c r="D51" s="17"/>
      <c r="E51" s="17"/>
      <c r="F51" s="17"/>
      <c r="G51" s="17"/>
    </row>
  </sheetData>
  <mergeCells count="1">
    <mergeCell ref="A46:G51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AC1D-6DE8-471F-9EDC-F24B9A682A27}">
  <dimension ref="A3:B6"/>
  <sheetViews>
    <sheetView workbookViewId="0">
      <selection activeCell="K7" sqref="K7"/>
    </sheetView>
  </sheetViews>
  <sheetFormatPr defaultRowHeight="14.4" x14ac:dyDescent="0.3"/>
  <cols>
    <col min="1" max="1" width="16.5546875" bestFit="1" customWidth="1"/>
    <col min="2" max="2" width="9.44140625" bestFit="1" customWidth="1"/>
    <col min="3" max="3" width="27.44140625" bestFit="1" customWidth="1"/>
  </cols>
  <sheetData>
    <row r="3" spans="1:2" x14ac:dyDescent="0.3">
      <c r="A3" s="10" t="s">
        <v>2953</v>
      </c>
      <c r="B3" t="s">
        <v>2954</v>
      </c>
    </row>
    <row r="4" spans="1:2" x14ac:dyDescent="0.3">
      <c r="A4" s="11" t="s">
        <v>36</v>
      </c>
      <c r="B4" s="12">
        <v>0.496</v>
      </c>
    </row>
    <row r="5" spans="1:2" x14ac:dyDescent="0.3">
      <c r="A5" s="11" t="s">
        <v>35</v>
      </c>
      <c r="B5" s="12">
        <v>0.504</v>
      </c>
    </row>
    <row r="6" spans="1:2" x14ac:dyDescent="0.3">
      <c r="A6" s="11" t="s">
        <v>2927</v>
      </c>
      <c r="B6" s="12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DB45-7C9F-4DE1-ADCE-DD017A409E12}">
  <dimension ref="A29:T36"/>
  <sheetViews>
    <sheetView topLeftCell="A10" workbookViewId="0">
      <selection activeCell="W26" sqref="W26"/>
    </sheetView>
  </sheetViews>
  <sheetFormatPr defaultRowHeight="14.4" x14ac:dyDescent="0.3"/>
  <sheetData>
    <row r="29" spans="1:20" x14ac:dyDescent="0.3">
      <c r="A29" s="18" t="s">
        <v>2955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</sheetData>
  <mergeCells count="1">
    <mergeCell ref="A29:T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AC45-3FD6-46A6-80D0-DC331941EBC4}">
  <dimension ref="A1:B11"/>
  <sheetViews>
    <sheetView tabSelected="1" workbookViewId="0">
      <selection activeCell="L26" sqref="L26"/>
    </sheetView>
  </sheetViews>
  <sheetFormatPr defaultRowHeight="14.4" x14ac:dyDescent="0.3"/>
  <cols>
    <col min="1" max="1" width="14.6640625" bestFit="1" customWidth="1"/>
    <col min="2" max="2" width="16.88671875" bestFit="1" customWidth="1"/>
  </cols>
  <sheetData>
    <row r="1" spans="1:2" x14ac:dyDescent="0.3">
      <c r="A1" s="10" t="s">
        <v>1</v>
      </c>
      <c r="B1" t="s">
        <v>20</v>
      </c>
    </row>
    <row r="3" spans="1:2" x14ac:dyDescent="0.3">
      <c r="A3" s="10" t="s">
        <v>2957</v>
      </c>
      <c r="B3" t="s">
        <v>2956</v>
      </c>
    </row>
    <row r="4" spans="1:2" x14ac:dyDescent="0.3">
      <c r="A4" s="11" t="s">
        <v>24</v>
      </c>
      <c r="B4">
        <v>1590.87</v>
      </c>
    </row>
    <row r="5" spans="1:2" x14ac:dyDescent="0.3">
      <c r="A5" s="11" t="s">
        <v>27</v>
      </c>
      <c r="B5">
        <v>1447.6200000000003</v>
      </c>
    </row>
    <row r="6" spans="1:2" x14ac:dyDescent="0.3">
      <c r="A6" s="11" t="s">
        <v>25</v>
      </c>
      <c r="B6">
        <v>1294.22</v>
      </c>
    </row>
    <row r="7" spans="1:2" x14ac:dyDescent="0.3">
      <c r="A7" s="11" t="s">
        <v>28</v>
      </c>
      <c r="B7">
        <v>1140.9599999999998</v>
      </c>
    </row>
    <row r="8" spans="1:2" x14ac:dyDescent="0.3">
      <c r="A8" s="11" t="s">
        <v>30</v>
      </c>
      <c r="B8">
        <v>1044.8400000000004</v>
      </c>
    </row>
    <row r="9" spans="1:2" x14ac:dyDescent="0.3">
      <c r="A9" s="11" t="s">
        <v>29</v>
      </c>
      <c r="B9">
        <v>1008.4699999999999</v>
      </c>
    </row>
    <row r="10" spans="1:2" x14ac:dyDescent="0.3">
      <c r="A10" s="11" t="s">
        <v>26</v>
      </c>
      <c r="B10">
        <v>864.55000000000007</v>
      </c>
    </row>
    <row r="11" spans="1:2" x14ac:dyDescent="0.3">
      <c r="A11" s="11" t="s">
        <v>2927</v>
      </c>
      <c r="B11">
        <v>8391.5300000000007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6A7E-88E1-4289-9757-F38B7952A2C1}">
  <dimension ref="A1"/>
  <sheetViews>
    <sheetView workbookViewId="0">
      <selection activeCell="S5" sqref="S5"/>
    </sheetView>
  </sheetViews>
  <sheetFormatPr defaultRowHeight="14.4" x14ac:dyDescent="0.3"/>
  <cols>
    <col min="1" max="1" width="17" bestFit="1" customWidth="1"/>
    <col min="2" max="2" width="26.77734375" bestFit="1" customWidth="1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8785-F313-4DB6-B11D-B0F4D2ECDB41}">
  <dimension ref="A1:L1501"/>
  <sheetViews>
    <sheetView topLeftCell="D1" workbookViewId="0">
      <selection activeCell="K1" sqref="K1:L6"/>
    </sheetView>
  </sheetViews>
  <sheetFormatPr defaultRowHeight="14.4" x14ac:dyDescent="0.3"/>
  <cols>
    <col min="8" max="8" width="21.33203125" customWidth="1"/>
    <col min="9" max="9" width="24" customWidth="1"/>
    <col min="10" max="10" width="15.77734375" customWidth="1"/>
    <col min="11" max="11" width="19.109375" customWidth="1"/>
    <col min="12" max="12" width="29" customWidth="1"/>
  </cols>
  <sheetData>
    <row r="1" spans="1:12" x14ac:dyDescent="0.3">
      <c r="A1" t="s">
        <v>9</v>
      </c>
      <c r="B1" t="s">
        <v>15</v>
      </c>
      <c r="G1" s="2" t="s">
        <v>1</v>
      </c>
      <c r="H1" s="2" t="s">
        <v>16</v>
      </c>
      <c r="I1" s="2" t="s">
        <v>17</v>
      </c>
      <c r="J1" s="13" t="s">
        <v>2958</v>
      </c>
      <c r="K1" s="2" t="s">
        <v>2959</v>
      </c>
      <c r="L1" s="2" t="s">
        <v>2960</v>
      </c>
    </row>
    <row r="2" spans="1:12" x14ac:dyDescent="0.3">
      <c r="A2">
        <v>2290.4</v>
      </c>
      <c r="B2">
        <v>43.34</v>
      </c>
      <c r="G2" t="s">
        <v>19</v>
      </c>
      <c r="H2" s="1">
        <v>44980</v>
      </c>
      <c r="I2" s="1">
        <v>44984</v>
      </c>
      <c r="J2">
        <f>I2-H2</f>
        <v>4</v>
      </c>
      <c r="K2" t="str" cm="1">
        <f t="array" ref="K2:K6">_xlfn.UNIQUE(G2:G1501)</f>
        <v>East</v>
      </c>
      <c r="L2" s="14">
        <f>AVERAGEIF($G$2:$G$1501,K2,$J$2:$J$1501)</f>
        <v>5.996784565916399</v>
      </c>
    </row>
    <row r="3" spans="1:12" x14ac:dyDescent="0.3">
      <c r="A3">
        <v>544.01</v>
      </c>
      <c r="B3">
        <v>5.3</v>
      </c>
      <c r="G3" t="s">
        <v>20</v>
      </c>
      <c r="H3" s="1">
        <v>45645</v>
      </c>
      <c r="I3" s="1">
        <v>45654</v>
      </c>
      <c r="J3">
        <f t="shared" ref="J3:J66" si="0">I3-H3</f>
        <v>9</v>
      </c>
      <c r="K3" t="str">
        <v>South</v>
      </c>
      <c r="L3" s="14">
        <f t="shared" ref="L3:L6" si="1">AVERAGEIF($G$2:$G$1501,K3,$J$2:$J$1501)</f>
        <v>5.9322033898305087</v>
      </c>
    </row>
    <row r="4" spans="1:12" x14ac:dyDescent="0.3">
      <c r="A4">
        <v>4361.8680000000004</v>
      </c>
      <c r="B4">
        <v>20.46</v>
      </c>
      <c r="G4" t="s">
        <v>21</v>
      </c>
      <c r="H4" s="1">
        <v>45056</v>
      </c>
      <c r="I4" s="1">
        <v>45065</v>
      </c>
      <c r="J4">
        <f t="shared" si="0"/>
        <v>9</v>
      </c>
      <c r="K4" t="str">
        <v>North</v>
      </c>
      <c r="L4" s="14">
        <f t="shared" si="1"/>
        <v>6.3851132686084142</v>
      </c>
    </row>
    <row r="5" spans="1:12" x14ac:dyDescent="0.3">
      <c r="A5">
        <v>5887.7460000000001</v>
      </c>
      <c r="B5">
        <v>27.95</v>
      </c>
      <c r="G5" t="s">
        <v>22</v>
      </c>
      <c r="H5" s="1">
        <v>45714</v>
      </c>
      <c r="I5" s="1">
        <v>45718</v>
      </c>
      <c r="J5">
        <f t="shared" si="0"/>
        <v>4</v>
      </c>
      <c r="K5" t="str">
        <v>Central</v>
      </c>
      <c r="L5" s="14">
        <f t="shared" si="1"/>
        <v>5.8770764119601333</v>
      </c>
    </row>
    <row r="6" spans="1:12" x14ac:dyDescent="0.3">
      <c r="A6">
        <v>4279.68</v>
      </c>
      <c r="B6">
        <v>5.73</v>
      </c>
      <c r="G6" t="s">
        <v>19</v>
      </c>
      <c r="H6" s="1">
        <v>45101</v>
      </c>
      <c r="I6" s="1">
        <v>45104</v>
      </c>
      <c r="J6">
        <f t="shared" si="0"/>
        <v>3</v>
      </c>
      <c r="K6" t="str">
        <v>West</v>
      </c>
      <c r="L6" s="14">
        <f t="shared" si="1"/>
        <v>6.01056338028169</v>
      </c>
    </row>
    <row r="7" spans="1:12" x14ac:dyDescent="0.3">
      <c r="A7">
        <v>654.65299999999991</v>
      </c>
      <c r="B7">
        <v>11.92</v>
      </c>
      <c r="G7" t="s">
        <v>22</v>
      </c>
      <c r="H7" s="1">
        <v>45342</v>
      </c>
      <c r="I7" s="1">
        <v>45352</v>
      </c>
      <c r="J7">
        <f t="shared" si="0"/>
        <v>10</v>
      </c>
    </row>
    <row r="8" spans="1:12" x14ac:dyDescent="0.3">
      <c r="A8">
        <v>110.25</v>
      </c>
      <c r="B8">
        <v>5.0199999999999996</v>
      </c>
      <c r="G8" t="s">
        <v>20</v>
      </c>
      <c r="H8" s="1">
        <v>44937</v>
      </c>
      <c r="I8" s="1">
        <v>44940</v>
      </c>
      <c r="J8">
        <f t="shared" si="0"/>
        <v>3</v>
      </c>
    </row>
    <row r="9" spans="1:12" x14ac:dyDescent="0.3">
      <c r="A9">
        <v>842.06100000000004</v>
      </c>
      <c r="B9">
        <v>48.01</v>
      </c>
      <c r="G9" t="s">
        <v>22</v>
      </c>
      <c r="H9" s="1">
        <v>44935</v>
      </c>
      <c r="I9" s="1">
        <v>44937</v>
      </c>
      <c r="J9">
        <f t="shared" si="0"/>
        <v>2</v>
      </c>
    </row>
    <row r="10" spans="1:12" x14ac:dyDescent="0.3">
      <c r="A10">
        <v>1231.3140000000001</v>
      </c>
      <c r="B10">
        <v>42.11</v>
      </c>
      <c r="G10" t="s">
        <v>20</v>
      </c>
      <c r="H10" s="1">
        <v>45581</v>
      </c>
      <c r="I10" s="1">
        <v>45583</v>
      </c>
      <c r="J10">
        <f t="shared" si="0"/>
        <v>2</v>
      </c>
    </row>
    <row r="11" spans="1:12" x14ac:dyDescent="0.3">
      <c r="A11">
        <v>1454.76</v>
      </c>
      <c r="B11">
        <v>41.1</v>
      </c>
      <c r="G11" t="s">
        <v>23</v>
      </c>
      <c r="H11" s="1">
        <v>45721</v>
      </c>
      <c r="I11" s="1">
        <v>45729</v>
      </c>
      <c r="J11">
        <f t="shared" si="0"/>
        <v>8</v>
      </c>
    </row>
    <row r="12" spans="1:12" x14ac:dyDescent="0.3">
      <c r="A12">
        <v>6671.9474999999993</v>
      </c>
      <c r="B12">
        <v>12.14</v>
      </c>
      <c r="G12" t="s">
        <v>21</v>
      </c>
      <c r="H12" s="1">
        <v>45392</v>
      </c>
      <c r="I12" s="1">
        <v>45399</v>
      </c>
      <c r="J12">
        <f t="shared" si="0"/>
        <v>7</v>
      </c>
    </row>
    <row r="13" spans="1:12" x14ac:dyDescent="0.3">
      <c r="A13">
        <v>3545.6849999999999</v>
      </c>
      <c r="B13">
        <v>44.89</v>
      </c>
      <c r="G13" t="s">
        <v>19</v>
      </c>
      <c r="H13" s="1">
        <v>45485</v>
      </c>
      <c r="I13" s="1">
        <v>45491</v>
      </c>
      <c r="J13">
        <f t="shared" si="0"/>
        <v>6</v>
      </c>
    </row>
    <row r="14" spans="1:12" x14ac:dyDescent="0.3">
      <c r="A14">
        <v>114.5035</v>
      </c>
      <c r="B14">
        <v>20.350000000000001</v>
      </c>
      <c r="G14" t="s">
        <v>22</v>
      </c>
      <c r="H14" s="1">
        <v>45128</v>
      </c>
      <c r="I14" s="1">
        <v>45138</v>
      </c>
      <c r="J14">
        <f t="shared" si="0"/>
        <v>10</v>
      </c>
    </row>
    <row r="15" spans="1:12" x14ac:dyDescent="0.3">
      <c r="A15">
        <v>134.15549999999999</v>
      </c>
      <c r="B15">
        <v>42.82</v>
      </c>
      <c r="G15" t="s">
        <v>23</v>
      </c>
      <c r="H15" s="1">
        <v>45675</v>
      </c>
      <c r="I15" s="1">
        <v>45679</v>
      </c>
      <c r="J15">
        <f t="shared" si="0"/>
        <v>4</v>
      </c>
    </row>
    <row r="16" spans="1:12" x14ac:dyDescent="0.3">
      <c r="A16">
        <v>2808.8249999999998</v>
      </c>
      <c r="B16">
        <v>39.659999999999997</v>
      </c>
      <c r="G16" t="s">
        <v>21</v>
      </c>
      <c r="H16" s="1">
        <v>45634</v>
      </c>
      <c r="I16" s="1">
        <v>45641</v>
      </c>
      <c r="J16">
        <f t="shared" si="0"/>
        <v>7</v>
      </c>
    </row>
    <row r="17" spans="1:10" x14ac:dyDescent="0.3">
      <c r="A17">
        <v>2631.8040000000001</v>
      </c>
      <c r="B17">
        <v>8.11</v>
      </c>
      <c r="G17" t="s">
        <v>23</v>
      </c>
      <c r="H17" s="1">
        <v>45788</v>
      </c>
      <c r="I17" s="1">
        <v>45794</v>
      </c>
      <c r="J17">
        <f t="shared" si="0"/>
        <v>6</v>
      </c>
    </row>
    <row r="18" spans="1:10" x14ac:dyDescent="0.3">
      <c r="A18">
        <v>4486.09</v>
      </c>
      <c r="B18">
        <v>34.11</v>
      </c>
      <c r="G18" t="s">
        <v>23</v>
      </c>
      <c r="H18" s="1">
        <v>44983</v>
      </c>
      <c r="I18" s="1">
        <v>44989</v>
      </c>
      <c r="J18">
        <f t="shared" si="0"/>
        <v>6</v>
      </c>
    </row>
    <row r="19" spans="1:10" x14ac:dyDescent="0.3">
      <c r="A19">
        <v>5989.3130000000001</v>
      </c>
      <c r="B19">
        <v>34.71</v>
      </c>
      <c r="G19" t="s">
        <v>22</v>
      </c>
      <c r="H19" s="1">
        <v>45440</v>
      </c>
      <c r="I19" s="1">
        <v>45444</v>
      </c>
      <c r="J19">
        <f t="shared" si="0"/>
        <v>4</v>
      </c>
    </row>
    <row r="20" spans="1:10" x14ac:dyDescent="0.3">
      <c r="A20">
        <v>8823.6799999999985</v>
      </c>
      <c r="B20">
        <v>19.43</v>
      </c>
      <c r="G20" t="s">
        <v>19</v>
      </c>
      <c r="H20" s="1">
        <v>45260</v>
      </c>
      <c r="I20" s="1">
        <v>45268</v>
      </c>
      <c r="J20">
        <f t="shared" si="0"/>
        <v>8</v>
      </c>
    </row>
    <row r="21" spans="1:10" x14ac:dyDescent="0.3">
      <c r="A21">
        <v>431.62</v>
      </c>
      <c r="B21">
        <v>7.1</v>
      </c>
      <c r="G21" t="s">
        <v>23</v>
      </c>
      <c r="H21" s="1">
        <v>45099</v>
      </c>
      <c r="I21" s="1">
        <v>45109</v>
      </c>
      <c r="J21">
        <f t="shared" si="0"/>
        <v>10</v>
      </c>
    </row>
    <row r="22" spans="1:10" x14ac:dyDescent="0.3">
      <c r="A22">
        <v>3190.5</v>
      </c>
      <c r="B22">
        <v>28.43</v>
      </c>
      <c r="G22" t="s">
        <v>23</v>
      </c>
      <c r="H22" s="1">
        <v>45813</v>
      </c>
      <c r="I22" s="1">
        <v>45816</v>
      </c>
      <c r="J22">
        <f t="shared" si="0"/>
        <v>3</v>
      </c>
    </row>
    <row r="23" spans="1:10" x14ac:dyDescent="0.3">
      <c r="A23">
        <v>4160.107</v>
      </c>
      <c r="B23">
        <v>46.83</v>
      </c>
      <c r="G23" t="s">
        <v>22</v>
      </c>
      <c r="H23" s="1">
        <v>44988</v>
      </c>
      <c r="I23" s="1">
        <v>44993</v>
      </c>
      <c r="J23">
        <f t="shared" si="0"/>
        <v>5</v>
      </c>
    </row>
    <row r="24" spans="1:10" x14ac:dyDescent="0.3">
      <c r="A24">
        <v>5536.3</v>
      </c>
      <c r="B24">
        <v>36.450000000000003</v>
      </c>
      <c r="G24" t="s">
        <v>21</v>
      </c>
      <c r="H24" s="1">
        <v>45340</v>
      </c>
      <c r="I24" s="1">
        <v>45344</v>
      </c>
      <c r="J24">
        <f t="shared" si="0"/>
        <v>4</v>
      </c>
    </row>
    <row r="25" spans="1:10" x14ac:dyDescent="0.3">
      <c r="A25">
        <v>4821.7440000000006</v>
      </c>
      <c r="B25">
        <v>27.97</v>
      </c>
      <c r="G25" t="s">
        <v>22</v>
      </c>
      <c r="H25" s="1">
        <v>45144</v>
      </c>
      <c r="I25" s="1">
        <v>45152</v>
      </c>
      <c r="J25">
        <f t="shared" si="0"/>
        <v>8</v>
      </c>
    </row>
    <row r="26" spans="1:10" x14ac:dyDescent="0.3">
      <c r="A26">
        <v>1440.05</v>
      </c>
      <c r="B26">
        <v>46.69</v>
      </c>
      <c r="G26" t="s">
        <v>21</v>
      </c>
      <c r="H26" s="1">
        <v>45435</v>
      </c>
      <c r="I26" s="1">
        <v>45442</v>
      </c>
      <c r="J26">
        <f t="shared" si="0"/>
        <v>7</v>
      </c>
    </row>
    <row r="27" spans="1:10" x14ac:dyDescent="0.3">
      <c r="A27">
        <v>7309.77</v>
      </c>
      <c r="B27">
        <v>38.130000000000003</v>
      </c>
      <c r="G27" t="s">
        <v>19</v>
      </c>
      <c r="H27" s="1">
        <v>45222</v>
      </c>
      <c r="I27" s="1">
        <v>45227</v>
      </c>
      <c r="J27">
        <f t="shared" si="0"/>
        <v>5</v>
      </c>
    </row>
    <row r="28" spans="1:10" x14ac:dyDescent="0.3">
      <c r="A28">
        <v>101.73</v>
      </c>
      <c r="B28">
        <v>11.59</v>
      </c>
      <c r="G28" t="s">
        <v>23</v>
      </c>
      <c r="H28" s="1">
        <v>45824</v>
      </c>
      <c r="I28" s="1">
        <v>45833</v>
      </c>
      <c r="J28">
        <f t="shared" si="0"/>
        <v>9</v>
      </c>
    </row>
    <row r="29" spans="1:10" x14ac:dyDescent="0.3">
      <c r="A29">
        <v>1117.96</v>
      </c>
      <c r="B29">
        <v>24.78</v>
      </c>
      <c r="G29" t="s">
        <v>21</v>
      </c>
      <c r="H29" s="1">
        <v>44988</v>
      </c>
      <c r="I29" s="1">
        <v>44993</v>
      </c>
      <c r="J29">
        <f t="shared" si="0"/>
        <v>5</v>
      </c>
    </row>
    <row r="30" spans="1:10" x14ac:dyDescent="0.3">
      <c r="A30">
        <v>151.76750000000001</v>
      </c>
      <c r="B30">
        <v>7.61</v>
      </c>
      <c r="G30" t="s">
        <v>20</v>
      </c>
      <c r="H30" s="1">
        <v>45614</v>
      </c>
      <c r="I30" s="1">
        <v>45617</v>
      </c>
      <c r="J30">
        <f t="shared" si="0"/>
        <v>3</v>
      </c>
    </row>
    <row r="31" spans="1:10" x14ac:dyDescent="0.3">
      <c r="A31">
        <v>424.863</v>
      </c>
      <c r="B31">
        <v>33.17</v>
      </c>
      <c r="G31" t="s">
        <v>22</v>
      </c>
      <c r="H31" s="1">
        <v>45055</v>
      </c>
      <c r="I31" s="1">
        <v>45063</v>
      </c>
      <c r="J31">
        <f t="shared" si="0"/>
        <v>8</v>
      </c>
    </row>
    <row r="32" spans="1:10" x14ac:dyDescent="0.3">
      <c r="A32">
        <v>3675.48</v>
      </c>
      <c r="B32">
        <v>37.380000000000003</v>
      </c>
      <c r="G32" t="s">
        <v>21</v>
      </c>
      <c r="H32" s="1">
        <v>45633</v>
      </c>
      <c r="I32" s="1">
        <v>45640</v>
      </c>
      <c r="J32">
        <f t="shared" si="0"/>
        <v>7</v>
      </c>
    </row>
    <row r="33" spans="1:10" x14ac:dyDescent="0.3">
      <c r="A33">
        <v>2586.8815</v>
      </c>
      <c r="B33">
        <v>12.35</v>
      </c>
      <c r="G33" t="s">
        <v>21</v>
      </c>
      <c r="H33" s="1">
        <v>45335</v>
      </c>
      <c r="I33" s="1">
        <v>45337</v>
      </c>
      <c r="J33">
        <f t="shared" si="0"/>
        <v>2</v>
      </c>
    </row>
    <row r="34" spans="1:10" x14ac:dyDescent="0.3">
      <c r="A34">
        <v>389.88</v>
      </c>
      <c r="B34">
        <v>21.25</v>
      </c>
      <c r="G34" t="s">
        <v>20</v>
      </c>
      <c r="H34" s="1">
        <v>45725</v>
      </c>
      <c r="I34" s="1">
        <v>45731</v>
      </c>
      <c r="J34">
        <f t="shared" si="0"/>
        <v>6</v>
      </c>
    </row>
    <row r="35" spans="1:10" x14ac:dyDescent="0.3">
      <c r="A35">
        <v>8100.33</v>
      </c>
      <c r="B35">
        <v>17.91</v>
      </c>
      <c r="G35" t="s">
        <v>22</v>
      </c>
      <c r="H35" s="1">
        <v>45021</v>
      </c>
      <c r="I35" s="1">
        <v>45027</v>
      </c>
      <c r="J35">
        <f t="shared" si="0"/>
        <v>6</v>
      </c>
    </row>
    <row r="36" spans="1:10" x14ac:dyDescent="0.3">
      <c r="A36">
        <v>1903.048</v>
      </c>
      <c r="B36">
        <v>41.91</v>
      </c>
      <c r="G36" t="s">
        <v>21</v>
      </c>
      <c r="H36" s="1">
        <v>45785</v>
      </c>
      <c r="I36" s="1">
        <v>45789</v>
      </c>
      <c r="J36">
        <f t="shared" si="0"/>
        <v>4</v>
      </c>
    </row>
    <row r="37" spans="1:10" x14ac:dyDescent="0.3">
      <c r="A37">
        <v>1149.96</v>
      </c>
      <c r="B37">
        <v>12.57</v>
      </c>
      <c r="G37" t="s">
        <v>21</v>
      </c>
      <c r="H37" s="1">
        <v>45172</v>
      </c>
      <c r="I37" s="1">
        <v>45180</v>
      </c>
      <c r="J37">
        <f t="shared" si="0"/>
        <v>8</v>
      </c>
    </row>
    <row r="38" spans="1:10" x14ac:dyDescent="0.3">
      <c r="A38">
        <v>2934.4454999999998</v>
      </c>
      <c r="B38">
        <v>40.29</v>
      </c>
      <c r="G38" t="s">
        <v>22</v>
      </c>
      <c r="H38" s="1">
        <v>45737</v>
      </c>
      <c r="I38" s="1">
        <v>45744</v>
      </c>
      <c r="J38">
        <f t="shared" si="0"/>
        <v>7</v>
      </c>
    </row>
    <row r="39" spans="1:10" x14ac:dyDescent="0.3">
      <c r="A39">
        <v>1791.0094999999999</v>
      </c>
      <c r="B39">
        <v>34.97</v>
      </c>
      <c r="G39" t="s">
        <v>20</v>
      </c>
      <c r="H39" s="1">
        <v>45828</v>
      </c>
      <c r="I39" s="1">
        <v>45838</v>
      </c>
      <c r="J39">
        <f t="shared" si="0"/>
        <v>10</v>
      </c>
    </row>
    <row r="40" spans="1:10" x14ac:dyDescent="0.3">
      <c r="A40">
        <v>5394.4380000000001</v>
      </c>
      <c r="B40">
        <v>24.77</v>
      </c>
      <c r="G40" t="s">
        <v>22</v>
      </c>
      <c r="H40" s="1">
        <v>45337</v>
      </c>
      <c r="I40" s="1">
        <v>45347</v>
      </c>
      <c r="J40">
        <f t="shared" si="0"/>
        <v>10</v>
      </c>
    </row>
    <row r="41" spans="1:10" x14ac:dyDescent="0.3">
      <c r="A41">
        <v>855.57599999999991</v>
      </c>
      <c r="B41">
        <v>34.79</v>
      </c>
      <c r="G41" t="s">
        <v>22</v>
      </c>
      <c r="H41" s="1">
        <v>45086</v>
      </c>
      <c r="I41" s="1">
        <v>45094</v>
      </c>
      <c r="J41">
        <f t="shared" si="0"/>
        <v>8</v>
      </c>
    </row>
    <row r="42" spans="1:10" x14ac:dyDescent="0.3">
      <c r="A42">
        <v>2116.44</v>
      </c>
      <c r="B42">
        <v>17.77</v>
      </c>
      <c r="G42" t="s">
        <v>20</v>
      </c>
      <c r="H42" s="1">
        <v>45148</v>
      </c>
      <c r="I42" s="1">
        <v>45152</v>
      </c>
      <c r="J42">
        <f t="shared" si="0"/>
        <v>4</v>
      </c>
    </row>
    <row r="43" spans="1:10" x14ac:dyDescent="0.3">
      <c r="A43">
        <v>1238.23</v>
      </c>
      <c r="B43">
        <v>21.72</v>
      </c>
      <c r="G43" t="s">
        <v>22</v>
      </c>
      <c r="H43" s="1">
        <v>45459</v>
      </c>
      <c r="I43" s="1">
        <v>45468</v>
      </c>
      <c r="J43">
        <f t="shared" si="0"/>
        <v>9</v>
      </c>
    </row>
    <row r="44" spans="1:10" x14ac:dyDescent="0.3">
      <c r="A44">
        <v>434.04</v>
      </c>
      <c r="B44">
        <v>34.85</v>
      </c>
      <c r="G44" t="s">
        <v>20</v>
      </c>
      <c r="H44" s="1">
        <v>45130</v>
      </c>
      <c r="I44" s="1">
        <v>45133</v>
      </c>
      <c r="J44">
        <f t="shared" si="0"/>
        <v>3</v>
      </c>
    </row>
    <row r="45" spans="1:10" x14ac:dyDescent="0.3">
      <c r="A45">
        <v>1561.654</v>
      </c>
      <c r="B45">
        <v>27.39</v>
      </c>
      <c r="G45" t="s">
        <v>22</v>
      </c>
      <c r="H45" s="1">
        <v>45066</v>
      </c>
      <c r="I45" s="1">
        <v>45073</v>
      </c>
      <c r="J45">
        <f t="shared" si="0"/>
        <v>7</v>
      </c>
    </row>
    <row r="46" spans="1:10" x14ac:dyDescent="0.3">
      <c r="A46">
        <v>790.51400000000001</v>
      </c>
      <c r="B46">
        <v>11.62</v>
      </c>
      <c r="G46" t="s">
        <v>20</v>
      </c>
      <c r="H46" s="1">
        <v>45107</v>
      </c>
      <c r="I46" s="1">
        <v>45111</v>
      </c>
      <c r="J46">
        <f t="shared" si="0"/>
        <v>4</v>
      </c>
    </row>
    <row r="47" spans="1:10" x14ac:dyDescent="0.3">
      <c r="A47">
        <v>4841.28</v>
      </c>
      <c r="B47">
        <v>20.76</v>
      </c>
      <c r="G47" t="s">
        <v>20</v>
      </c>
      <c r="H47" s="1">
        <v>45447</v>
      </c>
      <c r="I47" s="1">
        <v>45457</v>
      </c>
      <c r="J47">
        <f t="shared" si="0"/>
        <v>10</v>
      </c>
    </row>
    <row r="48" spans="1:10" x14ac:dyDescent="0.3">
      <c r="A48">
        <v>309.76549999999997</v>
      </c>
      <c r="B48">
        <v>24.95</v>
      </c>
      <c r="G48" t="s">
        <v>23</v>
      </c>
      <c r="H48" s="1">
        <v>45691</v>
      </c>
      <c r="I48" s="1">
        <v>45693</v>
      </c>
      <c r="J48">
        <f t="shared" si="0"/>
        <v>2</v>
      </c>
    </row>
    <row r="49" spans="1:10" x14ac:dyDescent="0.3">
      <c r="A49">
        <v>3961.136</v>
      </c>
      <c r="B49">
        <v>6.47</v>
      </c>
      <c r="G49" t="s">
        <v>19</v>
      </c>
      <c r="H49" s="1">
        <v>45300</v>
      </c>
      <c r="I49" s="1">
        <v>45304</v>
      </c>
      <c r="J49">
        <f t="shared" si="0"/>
        <v>4</v>
      </c>
    </row>
    <row r="50" spans="1:10" x14ac:dyDescent="0.3">
      <c r="A50">
        <v>743.17500000000007</v>
      </c>
      <c r="B50">
        <v>20.57</v>
      </c>
      <c r="G50" t="s">
        <v>21</v>
      </c>
      <c r="H50" s="1">
        <v>45365</v>
      </c>
      <c r="I50" s="1">
        <v>45367</v>
      </c>
      <c r="J50">
        <f t="shared" si="0"/>
        <v>2</v>
      </c>
    </row>
    <row r="51" spans="1:10" x14ac:dyDescent="0.3">
      <c r="A51">
        <v>2889.558</v>
      </c>
      <c r="B51">
        <v>20.71</v>
      </c>
      <c r="G51" t="s">
        <v>23</v>
      </c>
      <c r="H51" s="1">
        <v>45541</v>
      </c>
      <c r="I51" s="1">
        <v>45548</v>
      </c>
      <c r="J51">
        <f t="shared" si="0"/>
        <v>7</v>
      </c>
    </row>
    <row r="52" spans="1:10" x14ac:dyDescent="0.3">
      <c r="A52">
        <v>772.08299999999997</v>
      </c>
      <c r="B52">
        <v>12.87</v>
      </c>
      <c r="G52" t="s">
        <v>19</v>
      </c>
      <c r="H52" s="1">
        <v>45002</v>
      </c>
      <c r="I52" s="1">
        <v>45005</v>
      </c>
      <c r="J52">
        <f t="shared" si="0"/>
        <v>3</v>
      </c>
    </row>
    <row r="53" spans="1:10" x14ac:dyDescent="0.3">
      <c r="A53">
        <v>503.38</v>
      </c>
      <c r="B53">
        <v>42.49</v>
      </c>
      <c r="G53" t="s">
        <v>23</v>
      </c>
      <c r="H53" s="1">
        <v>45674</v>
      </c>
      <c r="I53" s="1">
        <v>45681</v>
      </c>
      <c r="J53">
        <f t="shared" si="0"/>
        <v>7</v>
      </c>
    </row>
    <row r="54" spans="1:10" x14ac:dyDescent="0.3">
      <c r="A54">
        <v>242.46899999999999</v>
      </c>
      <c r="B54">
        <v>19.22</v>
      </c>
      <c r="G54" t="s">
        <v>20</v>
      </c>
      <c r="H54" s="1">
        <v>45547</v>
      </c>
      <c r="I54" s="1">
        <v>45553</v>
      </c>
      <c r="J54">
        <f t="shared" si="0"/>
        <v>6</v>
      </c>
    </row>
    <row r="55" spans="1:10" x14ac:dyDescent="0.3">
      <c r="A55">
        <v>705.47</v>
      </c>
      <c r="B55">
        <v>36.51</v>
      </c>
      <c r="G55" t="s">
        <v>20</v>
      </c>
      <c r="H55" s="1">
        <v>45296</v>
      </c>
      <c r="I55" s="1">
        <v>45306</v>
      </c>
      <c r="J55">
        <f t="shared" si="0"/>
        <v>10</v>
      </c>
    </row>
    <row r="56" spans="1:10" x14ac:dyDescent="0.3">
      <c r="A56">
        <v>2695.0439999999999</v>
      </c>
      <c r="B56">
        <v>37.39</v>
      </c>
      <c r="G56" t="s">
        <v>23</v>
      </c>
      <c r="H56" s="1">
        <v>45401</v>
      </c>
      <c r="I56" s="1">
        <v>45407</v>
      </c>
      <c r="J56">
        <f t="shared" si="0"/>
        <v>6</v>
      </c>
    </row>
    <row r="57" spans="1:10" x14ac:dyDescent="0.3">
      <c r="A57">
        <v>2432.2375000000002</v>
      </c>
      <c r="B57">
        <v>36.33</v>
      </c>
      <c r="G57" t="s">
        <v>22</v>
      </c>
      <c r="H57" s="1">
        <v>45819</v>
      </c>
      <c r="I57" s="1">
        <v>45829</v>
      </c>
      <c r="J57">
        <f t="shared" si="0"/>
        <v>10</v>
      </c>
    </row>
    <row r="58" spans="1:10" x14ac:dyDescent="0.3">
      <c r="A58">
        <v>2113.7460000000001</v>
      </c>
      <c r="B58">
        <v>7.84</v>
      </c>
      <c r="G58" t="s">
        <v>19</v>
      </c>
      <c r="H58" s="1">
        <v>45722</v>
      </c>
      <c r="I58" s="1">
        <v>45731</v>
      </c>
      <c r="J58">
        <f t="shared" si="0"/>
        <v>9</v>
      </c>
    </row>
    <row r="59" spans="1:10" x14ac:dyDescent="0.3">
      <c r="A59">
        <v>451.71</v>
      </c>
      <c r="B59">
        <v>18.350000000000001</v>
      </c>
      <c r="G59" t="s">
        <v>19</v>
      </c>
      <c r="H59" s="1">
        <v>45070</v>
      </c>
      <c r="I59" s="1">
        <v>45072</v>
      </c>
      <c r="J59">
        <f t="shared" si="0"/>
        <v>2</v>
      </c>
    </row>
    <row r="60" spans="1:10" x14ac:dyDescent="0.3">
      <c r="A60">
        <v>3923.766000000001</v>
      </c>
      <c r="B60">
        <v>15.95</v>
      </c>
      <c r="G60" t="s">
        <v>20</v>
      </c>
      <c r="H60" s="1">
        <v>44953</v>
      </c>
      <c r="I60" s="1">
        <v>44960</v>
      </c>
      <c r="J60">
        <f t="shared" si="0"/>
        <v>7</v>
      </c>
    </row>
    <row r="61" spans="1:10" x14ac:dyDescent="0.3">
      <c r="A61">
        <v>5418.8190000000004</v>
      </c>
      <c r="B61">
        <v>15.69</v>
      </c>
      <c r="G61" t="s">
        <v>20</v>
      </c>
      <c r="H61" s="1">
        <v>45372</v>
      </c>
      <c r="I61" s="1">
        <v>45378</v>
      </c>
      <c r="J61">
        <f t="shared" si="0"/>
        <v>6</v>
      </c>
    </row>
    <row r="62" spans="1:10" x14ac:dyDescent="0.3">
      <c r="A62">
        <v>5016.0200000000004</v>
      </c>
      <c r="B62">
        <v>13.66</v>
      </c>
      <c r="G62" t="s">
        <v>23</v>
      </c>
      <c r="H62" s="1">
        <v>45682</v>
      </c>
      <c r="I62" s="1">
        <v>45688</v>
      </c>
      <c r="J62">
        <f t="shared" si="0"/>
        <v>6</v>
      </c>
    </row>
    <row r="63" spans="1:10" x14ac:dyDescent="0.3">
      <c r="A63">
        <v>2413.44</v>
      </c>
      <c r="B63">
        <v>36.54</v>
      </c>
      <c r="G63" t="s">
        <v>22</v>
      </c>
      <c r="H63" s="1">
        <v>45089</v>
      </c>
      <c r="I63" s="1">
        <v>45098</v>
      </c>
      <c r="J63">
        <f t="shared" si="0"/>
        <v>9</v>
      </c>
    </row>
    <row r="64" spans="1:10" x14ac:dyDescent="0.3">
      <c r="A64">
        <v>1283.5530000000001</v>
      </c>
      <c r="B64">
        <v>15.62</v>
      </c>
      <c r="G64" t="s">
        <v>22</v>
      </c>
      <c r="H64" s="1">
        <v>45738</v>
      </c>
      <c r="I64" s="1">
        <v>45742</v>
      </c>
      <c r="J64">
        <f t="shared" si="0"/>
        <v>4</v>
      </c>
    </row>
    <row r="65" spans="1:10" x14ac:dyDescent="0.3">
      <c r="A65">
        <v>642.6</v>
      </c>
      <c r="B65">
        <v>29.5</v>
      </c>
      <c r="G65" t="s">
        <v>22</v>
      </c>
      <c r="H65" s="1">
        <v>45346</v>
      </c>
      <c r="I65" s="1">
        <v>45349</v>
      </c>
      <c r="J65">
        <f t="shared" si="0"/>
        <v>3</v>
      </c>
    </row>
    <row r="66" spans="1:10" x14ac:dyDescent="0.3">
      <c r="A66">
        <v>7667.55</v>
      </c>
      <c r="B66">
        <v>21.77</v>
      </c>
      <c r="G66" t="s">
        <v>20</v>
      </c>
      <c r="H66" s="1">
        <v>45269</v>
      </c>
      <c r="I66" s="1">
        <v>45272</v>
      </c>
      <c r="J66">
        <f t="shared" si="0"/>
        <v>3</v>
      </c>
    </row>
    <row r="67" spans="1:10" x14ac:dyDescent="0.3">
      <c r="A67">
        <v>179.76599999999999</v>
      </c>
      <c r="B67">
        <v>22.43</v>
      </c>
      <c r="G67" t="s">
        <v>22</v>
      </c>
      <c r="H67" s="1">
        <v>45200</v>
      </c>
      <c r="I67" s="1">
        <v>45204</v>
      </c>
      <c r="J67">
        <f t="shared" ref="J67:J130" si="2">I67-H67</f>
        <v>4</v>
      </c>
    </row>
    <row r="68" spans="1:10" x14ac:dyDescent="0.3">
      <c r="A68">
        <v>2329.9699999999998</v>
      </c>
      <c r="B68">
        <v>12.24</v>
      </c>
      <c r="G68" t="s">
        <v>23</v>
      </c>
      <c r="H68" s="1">
        <v>45138</v>
      </c>
      <c r="I68" s="1">
        <v>45145</v>
      </c>
      <c r="J68">
        <f t="shared" si="2"/>
        <v>7</v>
      </c>
    </row>
    <row r="69" spans="1:10" x14ac:dyDescent="0.3">
      <c r="A69">
        <v>3085.2959999999998</v>
      </c>
      <c r="B69">
        <v>41.27</v>
      </c>
      <c r="G69" t="s">
        <v>20</v>
      </c>
      <c r="H69" s="1">
        <v>45650</v>
      </c>
      <c r="I69" s="1">
        <v>45657</v>
      </c>
      <c r="J69">
        <f t="shared" si="2"/>
        <v>7</v>
      </c>
    </row>
    <row r="70" spans="1:10" x14ac:dyDescent="0.3">
      <c r="A70">
        <v>143.46899999999999</v>
      </c>
      <c r="B70">
        <v>35.14</v>
      </c>
      <c r="G70" t="s">
        <v>21</v>
      </c>
      <c r="H70" s="1">
        <v>45611</v>
      </c>
      <c r="I70" s="1">
        <v>45615</v>
      </c>
      <c r="J70">
        <f t="shared" si="2"/>
        <v>4</v>
      </c>
    </row>
    <row r="71" spans="1:10" x14ac:dyDescent="0.3">
      <c r="A71">
        <v>523.46400000000006</v>
      </c>
      <c r="B71">
        <v>8.3800000000000008</v>
      </c>
      <c r="G71" t="s">
        <v>23</v>
      </c>
      <c r="H71" s="1">
        <v>45729</v>
      </c>
      <c r="I71" s="1">
        <v>45738</v>
      </c>
      <c r="J71">
        <f t="shared" si="2"/>
        <v>9</v>
      </c>
    </row>
    <row r="72" spans="1:10" x14ac:dyDescent="0.3">
      <c r="A72">
        <v>4186.59</v>
      </c>
      <c r="B72">
        <v>15.76</v>
      </c>
      <c r="G72" t="s">
        <v>19</v>
      </c>
      <c r="H72" s="1">
        <v>45354</v>
      </c>
      <c r="I72" s="1">
        <v>45363</v>
      </c>
      <c r="J72">
        <f t="shared" si="2"/>
        <v>9</v>
      </c>
    </row>
    <row r="73" spans="1:10" x14ac:dyDescent="0.3">
      <c r="A73">
        <v>9864.18</v>
      </c>
      <c r="B73">
        <v>5.89</v>
      </c>
      <c r="G73" t="s">
        <v>22</v>
      </c>
      <c r="H73" s="1">
        <v>44968</v>
      </c>
      <c r="I73" s="1">
        <v>44971</v>
      </c>
      <c r="J73">
        <f t="shared" si="2"/>
        <v>3</v>
      </c>
    </row>
    <row r="74" spans="1:10" x14ac:dyDescent="0.3">
      <c r="A74">
        <v>5982.9575000000004</v>
      </c>
      <c r="B74">
        <v>6.57</v>
      </c>
      <c r="G74" t="s">
        <v>20</v>
      </c>
      <c r="H74" s="1">
        <v>45225</v>
      </c>
      <c r="I74" s="1">
        <v>45235</v>
      </c>
      <c r="J74">
        <f t="shared" si="2"/>
        <v>10</v>
      </c>
    </row>
    <row r="75" spans="1:10" x14ac:dyDescent="0.3">
      <c r="A75">
        <v>2418.6239999999998</v>
      </c>
      <c r="B75">
        <v>33.520000000000003</v>
      </c>
      <c r="G75" t="s">
        <v>20</v>
      </c>
      <c r="H75" s="1">
        <v>45220</v>
      </c>
      <c r="I75" s="1">
        <v>45227</v>
      </c>
      <c r="J75">
        <f t="shared" si="2"/>
        <v>7</v>
      </c>
    </row>
    <row r="76" spans="1:10" x14ac:dyDescent="0.3">
      <c r="A76">
        <v>483.53100000000001</v>
      </c>
      <c r="B76">
        <v>33.590000000000003</v>
      </c>
      <c r="G76" t="s">
        <v>22</v>
      </c>
      <c r="H76" s="1">
        <v>45305</v>
      </c>
      <c r="I76" s="1">
        <v>45311</v>
      </c>
      <c r="J76">
        <f t="shared" si="2"/>
        <v>6</v>
      </c>
    </row>
    <row r="77" spans="1:10" x14ac:dyDescent="0.3">
      <c r="A77">
        <v>4985.1899999999996</v>
      </c>
      <c r="B77">
        <v>31.3</v>
      </c>
      <c r="G77" t="s">
        <v>22</v>
      </c>
      <c r="H77" s="1">
        <v>45134</v>
      </c>
      <c r="I77" s="1">
        <v>45138</v>
      </c>
      <c r="J77">
        <f t="shared" si="2"/>
        <v>4</v>
      </c>
    </row>
    <row r="78" spans="1:10" x14ac:dyDescent="0.3">
      <c r="A78">
        <v>5613.5519999999997</v>
      </c>
      <c r="B78">
        <v>14.41</v>
      </c>
      <c r="G78" t="s">
        <v>20</v>
      </c>
      <c r="H78" s="1">
        <v>45588</v>
      </c>
      <c r="I78" s="1">
        <v>45590</v>
      </c>
      <c r="J78">
        <f t="shared" si="2"/>
        <v>2</v>
      </c>
    </row>
    <row r="79" spans="1:10" x14ac:dyDescent="0.3">
      <c r="A79">
        <v>2344.2150000000001</v>
      </c>
      <c r="B79">
        <v>7.87</v>
      </c>
      <c r="G79" t="s">
        <v>20</v>
      </c>
      <c r="H79" s="1">
        <v>45195</v>
      </c>
      <c r="I79" s="1">
        <v>45200</v>
      </c>
      <c r="J79">
        <f t="shared" si="2"/>
        <v>5</v>
      </c>
    </row>
    <row r="80" spans="1:10" x14ac:dyDescent="0.3">
      <c r="A80">
        <v>3138.2</v>
      </c>
      <c r="B80">
        <v>49.05</v>
      </c>
      <c r="G80" t="s">
        <v>19</v>
      </c>
      <c r="H80" s="1">
        <v>45276</v>
      </c>
      <c r="I80" s="1">
        <v>45280</v>
      </c>
      <c r="J80">
        <f t="shared" si="2"/>
        <v>4</v>
      </c>
    </row>
    <row r="81" spans="1:10" x14ac:dyDescent="0.3">
      <c r="A81">
        <v>6686.67</v>
      </c>
      <c r="B81">
        <v>39.979999999999997</v>
      </c>
      <c r="G81" t="s">
        <v>22</v>
      </c>
      <c r="H81" s="1">
        <v>45293</v>
      </c>
      <c r="I81" s="1">
        <v>45296</v>
      </c>
      <c r="J81">
        <f t="shared" si="2"/>
        <v>3</v>
      </c>
    </row>
    <row r="82" spans="1:10" x14ac:dyDescent="0.3">
      <c r="A82">
        <v>318.25</v>
      </c>
      <c r="B82">
        <v>38.82</v>
      </c>
      <c r="G82" t="s">
        <v>21</v>
      </c>
      <c r="H82" s="1">
        <v>45338</v>
      </c>
      <c r="I82" s="1">
        <v>45347</v>
      </c>
      <c r="J82">
        <f t="shared" si="2"/>
        <v>9</v>
      </c>
    </row>
    <row r="83" spans="1:10" x14ac:dyDescent="0.3">
      <c r="A83">
        <v>1772.0374999999999</v>
      </c>
      <c r="B83">
        <v>24.03</v>
      </c>
      <c r="G83" t="s">
        <v>19</v>
      </c>
      <c r="H83" s="1">
        <v>45415</v>
      </c>
      <c r="I83" s="1">
        <v>45424</v>
      </c>
      <c r="J83">
        <f t="shared" si="2"/>
        <v>9</v>
      </c>
    </row>
    <row r="84" spans="1:10" x14ac:dyDescent="0.3">
      <c r="A84">
        <v>2435.5529999999999</v>
      </c>
      <c r="B84">
        <v>12.38</v>
      </c>
      <c r="G84" t="s">
        <v>23</v>
      </c>
      <c r="H84" s="1">
        <v>45073</v>
      </c>
      <c r="I84" s="1">
        <v>45079</v>
      </c>
      <c r="J84">
        <f t="shared" si="2"/>
        <v>6</v>
      </c>
    </row>
    <row r="85" spans="1:10" x14ac:dyDescent="0.3">
      <c r="A85">
        <v>6990.24</v>
      </c>
      <c r="B85">
        <v>41.16</v>
      </c>
      <c r="G85" t="s">
        <v>19</v>
      </c>
      <c r="H85" s="1">
        <v>44931</v>
      </c>
      <c r="I85" s="1">
        <v>44937</v>
      </c>
      <c r="J85">
        <f t="shared" si="2"/>
        <v>6</v>
      </c>
    </row>
    <row r="86" spans="1:10" x14ac:dyDescent="0.3">
      <c r="A86">
        <v>2202.52</v>
      </c>
      <c r="B86">
        <v>40.21</v>
      </c>
      <c r="G86" t="s">
        <v>19</v>
      </c>
      <c r="H86" s="1">
        <v>45798</v>
      </c>
      <c r="I86" s="1">
        <v>45800</v>
      </c>
      <c r="J86">
        <f t="shared" si="2"/>
        <v>2</v>
      </c>
    </row>
    <row r="87" spans="1:10" x14ac:dyDescent="0.3">
      <c r="A87">
        <v>7340.94</v>
      </c>
      <c r="B87">
        <v>37.75</v>
      </c>
      <c r="G87" t="s">
        <v>22</v>
      </c>
      <c r="H87" s="1">
        <v>45128</v>
      </c>
      <c r="I87" s="1">
        <v>45132</v>
      </c>
      <c r="J87">
        <f t="shared" si="2"/>
        <v>4</v>
      </c>
    </row>
    <row r="88" spans="1:10" x14ac:dyDescent="0.3">
      <c r="A88">
        <v>237.75</v>
      </c>
      <c r="B88">
        <v>23.49</v>
      </c>
      <c r="G88" t="s">
        <v>19</v>
      </c>
      <c r="H88" s="1">
        <v>45802</v>
      </c>
      <c r="I88" s="1">
        <v>45811</v>
      </c>
      <c r="J88">
        <f t="shared" si="2"/>
        <v>9</v>
      </c>
    </row>
    <row r="89" spans="1:10" x14ac:dyDescent="0.3">
      <c r="A89">
        <v>9870.1200000000008</v>
      </c>
      <c r="B89">
        <v>33.47</v>
      </c>
      <c r="G89" t="s">
        <v>20</v>
      </c>
      <c r="H89" s="1">
        <v>45612</v>
      </c>
      <c r="I89" s="1">
        <v>45618</v>
      </c>
      <c r="J89">
        <f t="shared" si="2"/>
        <v>6</v>
      </c>
    </row>
    <row r="90" spans="1:10" x14ac:dyDescent="0.3">
      <c r="A90">
        <v>7992.616</v>
      </c>
      <c r="B90">
        <v>36.47</v>
      </c>
      <c r="G90" t="s">
        <v>21</v>
      </c>
      <c r="H90" s="1">
        <v>45249</v>
      </c>
      <c r="I90" s="1">
        <v>45255</v>
      </c>
      <c r="J90">
        <f t="shared" si="2"/>
        <v>6</v>
      </c>
    </row>
    <row r="91" spans="1:10" x14ac:dyDescent="0.3">
      <c r="A91">
        <v>5862.165</v>
      </c>
      <c r="B91">
        <v>48.51</v>
      </c>
      <c r="G91" t="s">
        <v>22</v>
      </c>
      <c r="H91" s="1">
        <v>45669</v>
      </c>
      <c r="I91" s="1">
        <v>45678</v>
      </c>
      <c r="J91">
        <f t="shared" si="2"/>
        <v>9</v>
      </c>
    </row>
    <row r="92" spans="1:10" x14ac:dyDescent="0.3">
      <c r="A92">
        <v>9575.1450000000004</v>
      </c>
      <c r="B92">
        <v>18.3</v>
      </c>
      <c r="G92" t="s">
        <v>21</v>
      </c>
      <c r="H92" s="1">
        <v>45014</v>
      </c>
      <c r="I92" s="1">
        <v>45019</v>
      </c>
      <c r="J92">
        <f t="shared" si="2"/>
        <v>5</v>
      </c>
    </row>
    <row r="93" spans="1:10" x14ac:dyDescent="0.3">
      <c r="A93">
        <v>1367.24</v>
      </c>
      <c r="B93">
        <v>14.8</v>
      </c>
      <c r="G93" t="s">
        <v>21</v>
      </c>
      <c r="H93" s="1">
        <v>45717</v>
      </c>
      <c r="I93" s="1">
        <v>45721</v>
      </c>
      <c r="J93">
        <f t="shared" si="2"/>
        <v>4</v>
      </c>
    </row>
    <row r="94" spans="1:10" x14ac:dyDescent="0.3">
      <c r="A94">
        <v>5040.329999999999</v>
      </c>
      <c r="B94">
        <v>18.05</v>
      </c>
      <c r="G94" t="s">
        <v>21</v>
      </c>
      <c r="H94" s="1">
        <v>45217</v>
      </c>
      <c r="I94" s="1">
        <v>45219</v>
      </c>
      <c r="J94">
        <f t="shared" si="2"/>
        <v>2</v>
      </c>
    </row>
    <row r="95" spans="1:10" x14ac:dyDescent="0.3">
      <c r="A95">
        <v>4629.8999999999996</v>
      </c>
      <c r="B95">
        <v>5.01</v>
      </c>
      <c r="G95" t="s">
        <v>19</v>
      </c>
      <c r="H95" s="1">
        <v>45760</v>
      </c>
      <c r="I95" s="1">
        <v>45762</v>
      </c>
      <c r="J95">
        <f t="shared" si="2"/>
        <v>2</v>
      </c>
    </row>
    <row r="96" spans="1:10" x14ac:dyDescent="0.3">
      <c r="A96">
        <v>3060.596</v>
      </c>
      <c r="B96">
        <v>11.54</v>
      </c>
      <c r="G96" t="s">
        <v>22</v>
      </c>
      <c r="H96" s="1">
        <v>45790</v>
      </c>
      <c r="I96" s="1">
        <v>45800</v>
      </c>
      <c r="J96">
        <f t="shared" si="2"/>
        <v>10</v>
      </c>
    </row>
    <row r="97" spans="1:10" x14ac:dyDescent="0.3">
      <c r="A97">
        <v>4998.7479999999996</v>
      </c>
      <c r="B97">
        <v>6.11</v>
      </c>
      <c r="G97" t="s">
        <v>23</v>
      </c>
      <c r="H97" s="1">
        <v>45403</v>
      </c>
      <c r="I97" s="1">
        <v>45409</v>
      </c>
      <c r="J97">
        <f t="shared" si="2"/>
        <v>6</v>
      </c>
    </row>
    <row r="98" spans="1:10" x14ac:dyDescent="0.3">
      <c r="A98">
        <v>307.63850000000002</v>
      </c>
      <c r="B98">
        <v>27.48</v>
      </c>
      <c r="G98" t="s">
        <v>22</v>
      </c>
      <c r="H98" s="1">
        <v>45688</v>
      </c>
      <c r="I98" s="1">
        <v>45696</v>
      </c>
      <c r="J98">
        <f t="shared" si="2"/>
        <v>8</v>
      </c>
    </row>
    <row r="99" spans="1:10" x14ac:dyDescent="0.3">
      <c r="A99">
        <v>5030.7</v>
      </c>
      <c r="B99">
        <v>44.61</v>
      </c>
      <c r="G99" t="s">
        <v>22</v>
      </c>
      <c r="H99" s="1">
        <v>45730</v>
      </c>
      <c r="I99" s="1">
        <v>45735</v>
      </c>
      <c r="J99">
        <f t="shared" si="2"/>
        <v>5</v>
      </c>
    </row>
    <row r="100" spans="1:10" x14ac:dyDescent="0.3">
      <c r="A100">
        <v>8358.56</v>
      </c>
      <c r="B100">
        <v>43.46</v>
      </c>
      <c r="G100" t="s">
        <v>23</v>
      </c>
      <c r="H100" s="1">
        <v>45438</v>
      </c>
      <c r="I100" s="1">
        <v>45441</v>
      </c>
      <c r="J100">
        <f t="shared" si="2"/>
        <v>3</v>
      </c>
    </row>
    <row r="101" spans="1:10" x14ac:dyDescent="0.3">
      <c r="A101">
        <v>7565.4674999999997</v>
      </c>
      <c r="B101">
        <v>17.88</v>
      </c>
      <c r="G101" t="s">
        <v>21</v>
      </c>
      <c r="H101" s="1">
        <v>45129</v>
      </c>
      <c r="I101" s="1">
        <v>45133</v>
      </c>
      <c r="J101">
        <f t="shared" si="2"/>
        <v>4</v>
      </c>
    </row>
    <row r="102" spans="1:10" x14ac:dyDescent="0.3">
      <c r="A102">
        <v>3756.4560000000001</v>
      </c>
      <c r="B102">
        <v>48.03</v>
      </c>
      <c r="G102" t="s">
        <v>21</v>
      </c>
      <c r="H102" s="1">
        <v>45372</v>
      </c>
      <c r="I102" s="1">
        <v>45381</v>
      </c>
      <c r="J102">
        <f t="shared" si="2"/>
        <v>9</v>
      </c>
    </row>
    <row r="103" spans="1:10" x14ac:dyDescent="0.3">
      <c r="A103">
        <v>663</v>
      </c>
      <c r="B103">
        <v>32.31</v>
      </c>
      <c r="G103" t="s">
        <v>23</v>
      </c>
      <c r="H103" s="1">
        <v>45021</v>
      </c>
      <c r="I103" s="1">
        <v>45024</v>
      </c>
      <c r="J103">
        <f t="shared" si="2"/>
        <v>3</v>
      </c>
    </row>
    <row r="104" spans="1:10" x14ac:dyDescent="0.3">
      <c r="A104">
        <v>1074.165</v>
      </c>
      <c r="B104">
        <v>6.77</v>
      </c>
      <c r="G104" t="s">
        <v>19</v>
      </c>
      <c r="H104" s="1">
        <v>45530</v>
      </c>
      <c r="I104" s="1">
        <v>45536</v>
      </c>
      <c r="J104">
        <f t="shared" si="2"/>
        <v>6</v>
      </c>
    </row>
    <row r="105" spans="1:10" x14ac:dyDescent="0.3">
      <c r="A105">
        <v>1698.6</v>
      </c>
      <c r="B105">
        <v>28.97</v>
      </c>
      <c r="G105" t="s">
        <v>21</v>
      </c>
      <c r="H105" s="1">
        <v>45480</v>
      </c>
      <c r="I105" s="1">
        <v>45490</v>
      </c>
      <c r="J105">
        <f t="shared" si="2"/>
        <v>10</v>
      </c>
    </row>
    <row r="106" spans="1:10" x14ac:dyDescent="0.3">
      <c r="A106">
        <v>2222.297</v>
      </c>
      <c r="B106">
        <v>47.05</v>
      </c>
      <c r="G106" t="s">
        <v>19</v>
      </c>
      <c r="H106" s="1">
        <v>45198</v>
      </c>
      <c r="I106" s="1">
        <v>45207</v>
      </c>
      <c r="J106">
        <f t="shared" si="2"/>
        <v>9</v>
      </c>
    </row>
    <row r="107" spans="1:10" x14ac:dyDescent="0.3">
      <c r="A107">
        <v>520.70399999999995</v>
      </c>
      <c r="B107">
        <v>26.64</v>
      </c>
      <c r="G107" t="s">
        <v>23</v>
      </c>
      <c r="H107" s="1">
        <v>45203</v>
      </c>
      <c r="I107" s="1">
        <v>45210</v>
      </c>
      <c r="J107">
        <f t="shared" si="2"/>
        <v>7</v>
      </c>
    </row>
    <row r="108" spans="1:10" x14ac:dyDescent="0.3">
      <c r="A108">
        <v>140.48599999999999</v>
      </c>
      <c r="B108">
        <v>28.05</v>
      </c>
      <c r="G108" t="s">
        <v>22</v>
      </c>
      <c r="H108" s="1">
        <v>45817</v>
      </c>
      <c r="I108" s="1">
        <v>45824</v>
      </c>
      <c r="J108">
        <f t="shared" si="2"/>
        <v>7</v>
      </c>
    </row>
    <row r="109" spans="1:10" x14ac:dyDescent="0.3">
      <c r="A109">
        <v>6616.6559999999999</v>
      </c>
      <c r="B109">
        <v>26.99</v>
      </c>
      <c r="G109" t="s">
        <v>19</v>
      </c>
      <c r="H109" s="1">
        <v>45820</v>
      </c>
      <c r="I109" s="1">
        <v>45822</v>
      </c>
      <c r="J109">
        <f t="shared" si="2"/>
        <v>2</v>
      </c>
    </row>
    <row r="110" spans="1:10" x14ac:dyDescent="0.3">
      <c r="A110">
        <v>504.15</v>
      </c>
      <c r="B110">
        <v>21.08</v>
      </c>
      <c r="G110" t="s">
        <v>19</v>
      </c>
      <c r="H110" s="1">
        <v>45472</v>
      </c>
      <c r="I110" s="1">
        <v>45479</v>
      </c>
      <c r="J110">
        <f t="shared" si="2"/>
        <v>7</v>
      </c>
    </row>
    <row r="111" spans="1:10" x14ac:dyDescent="0.3">
      <c r="A111">
        <v>446.72599999999989</v>
      </c>
      <c r="B111">
        <v>49.6</v>
      </c>
      <c r="G111" t="s">
        <v>21</v>
      </c>
      <c r="H111" s="1">
        <v>45374</v>
      </c>
      <c r="I111" s="1">
        <v>45384</v>
      </c>
      <c r="J111">
        <f t="shared" si="2"/>
        <v>10</v>
      </c>
    </row>
    <row r="112" spans="1:10" x14ac:dyDescent="0.3">
      <c r="A112">
        <v>604.64</v>
      </c>
      <c r="B112">
        <v>41.4</v>
      </c>
      <c r="G112" t="s">
        <v>20</v>
      </c>
      <c r="H112" s="1">
        <v>45487</v>
      </c>
      <c r="I112" s="1">
        <v>45494</v>
      </c>
      <c r="J112">
        <f t="shared" si="2"/>
        <v>7</v>
      </c>
    </row>
    <row r="113" spans="1:10" x14ac:dyDescent="0.3">
      <c r="A113">
        <v>1202.2739999999999</v>
      </c>
      <c r="B113">
        <v>8.02</v>
      </c>
      <c r="G113" t="s">
        <v>20</v>
      </c>
      <c r="H113" s="1">
        <v>45366</v>
      </c>
      <c r="I113" s="1">
        <v>45376</v>
      </c>
      <c r="J113">
        <f t="shared" si="2"/>
        <v>10</v>
      </c>
    </row>
    <row r="114" spans="1:10" x14ac:dyDescent="0.3">
      <c r="A114">
        <v>531.95249999999987</v>
      </c>
      <c r="B114">
        <v>43.69</v>
      </c>
      <c r="G114" t="s">
        <v>22</v>
      </c>
      <c r="H114" s="1">
        <v>45766</v>
      </c>
      <c r="I114" s="1">
        <v>45771</v>
      </c>
      <c r="J114">
        <f t="shared" si="2"/>
        <v>5</v>
      </c>
    </row>
    <row r="115" spans="1:10" x14ac:dyDescent="0.3">
      <c r="A115">
        <v>8216.4060000000009</v>
      </c>
      <c r="B115">
        <v>23.94</v>
      </c>
      <c r="G115" t="s">
        <v>23</v>
      </c>
      <c r="H115" s="1">
        <v>45337</v>
      </c>
      <c r="I115" s="1">
        <v>45342</v>
      </c>
      <c r="J115">
        <f t="shared" si="2"/>
        <v>5</v>
      </c>
    </row>
    <row r="116" spans="1:10" x14ac:dyDescent="0.3">
      <c r="A116">
        <v>1078</v>
      </c>
      <c r="B116">
        <v>28.36</v>
      </c>
      <c r="G116" t="s">
        <v>19</v>
      </c>
      <c r="H116" s="1">
        <v>45316</v>
      </c>
      <c r="I116" s="1">
        <v>45326</v>
      </c>
      <c r="J116">
        <f t="shared" si="2"/>
        <v>10</v>
      </c>
    </row>
    <row r="117" spans="1:10" x14ac:dyDescent="0.3">
      <c r="A117">
        <v>3771</v>
      </c>
      <c r="B117">
        <v>38.229999999999997</v>
      </c>
      <c r="G117" t="s">
        <v>22</v>
      </c>
      <c r="H117" s="1">
        <v>45762</v>
      </c>
      <c r="I117" s="1">
        <v>45770</v>
      </c>
      <c r="J117">
        <f t="shared" si="2"/>
        <v>8</v>
      </c>
    </row>
    <row r="118" spans="1:10" x14ac:dyDescent="0.3">
      <c r="A118">
        <v>2512.6559999999999</v>
      </c>
      <c r="B118">
        <v>19.170000000000002</v>
      </c>
      <c r="G118" t="s">
        <v>22</v>
      </c>
      <c r="H118" s="1">
        <v>45762</v>
      </c>
      <c r="I118" s="1">
        <v>45767</v>
      </c>
      <c r="J118">
        <f t="shared" si="2"/>
        <v>5</v>
      </c>
    </row>
    <row r="119" spans="1:10" x14ac:dyDescent="0.3">
      <c r="A119">
        <v>549.36599999999999</v>
      </c>
      <c r="B119">
        <v>5.13</v>
      </c>
      <c r="G119" t="s">
        <v>23</v>
      </c>
      <c r="H119" s="1">
        <v>45515</v>
      </c>
      <c r="I119" s="1">
        <v>45517</v>
      </c>
      <c r="J119">
        <f t="shared" si="2"/>
        <v>2</v>
      </c>
    </row>
    <row r="120" spans="1:10" x14ac:dyDescent="0.3">
      <c r="A120">
        <v>1984.65</v>
      </c>
      <c r="B120">
        <v>48.63</v>
      </c>
      <c r="G120" t="s">
        <v>20</v>
      </c>
      <c r="H120" s="1">
        <v>45261</v>
      </c>
      <c r="I120" s="1">
        <v>45268</v>
      </c>
      <c r="J120">
        <f t="shared" si="2"/>
        <v>7</v>
      </c>
    </row>
    <row r="121" spans="1:10" x14ac:dyDescent="0.3">
      <c r="A121">
        <v>4831.415</v>
      </c>
      <c r="B121">
        <v>9.35</v>
      </c>
      <c r="G121" t="s">
        <v>22</v>
      </c>
      <c r="H121" s="1">
        <v>45144</v>
      </c>
      <c r="I121" s="1">
        <v>45149</v>
      </c>
      <c r="J121">
        <f t="shared" si="2"/>
        <v>5</v>
      </c>
    </row>
    <row r="122" spans="1:10" x14ac:dyDescent="0.3">
      <c r="A122">
        <v>2570.1390000000001</v>
      </c>
      <c r="B122">
        <v>13.73</v>
      </c>
      <c r="G122" t="s">
        <v>22</v>
      </c>
      <c r="H122" s="1">
        <v>45315</v>
      </c>
      <c r="I122" s="1">
        <v>45322</v>
      </c>
      <c r="J122">
        <f t="shared" si="2"/>
        <v>7</v>
      </c>
    </row>
    <row r="123" spans="1:10" x14ac:dyDescent="0.3">
      <c r="A123">
        <v>2819.61</v>
      </c>
      <c r="B123">
        <v>14.04</v>
      </c>
      <c r="G123" t="s">
        <v>22</v>
      </c>
      <c r="H123" s="1">
        <v>45358</v>
      </c>
      <c r="I123" s="1">
        <v>45364</v>
      </c>
      <c r="J123">
        <f t="shared" si="2"/>
        <v>6</v>
      </c>
    </row>
    <row r="124" spans="1:10" x14ac:dyDescent="0.3">
      <c r="A124">
        <v>479.56499999999988</v>
      </c>
      <c r="B124">
        <v>25.24</v>
      </c>
      <c r="G124" t="s">
        <v>20</v>
      </c>
      <c r="H124" s="1">
        <v>45313</v>
      </c>
      <c r="I124" s="1">
        <v>45319</v>
      </c>
      <c r="J124">
        <f t="shared" si="2"/>
        <v>6</v>
      </c>
    </row>
    <row r="125" spans="1:10" x14ac:dyDescent="0.3">
      <c r="A125">
        <v>92.649999999999991</v>
      </c>
      <c r="B125">
        <v>8.0299999999999994</v>
      </c>
      <c r="G125" t="s">
        <v>19</v>
      </c>
      <c r="H125" s="1">
        <v>44980</v>
      </c>
      <c r="I125" s="1">
        <v>44984</v>
      </c>
      <c r="J125">
        <f t="shared" si="2"/>
        <v>4</v>
      </c>
    </row>
    <row r="126" spans="1:10" x14ac:dyDescent="0.3">
      <c r="A126">
        <v>2590.4</v>
      </c>
      <c r="B126">
        <v>35.229999999999997</v>
      </c>
      <c r="G126" t="s">
        <v>21</v>
      </c>
      <c r="H126" s="1">
        <v>45091</v>
      </c>
      <c r="I126" s="1">
        <v>45099</v>
      </c>
      <c r="J126">
        <f t="shared" si="2"/>
        <v>8</v>
      </c>
    </row>
    <row r="127" spans="1:10" x14ac:dyDescent="0.3">
      <c r="A127">
        <v>5841.6639999999998</v>
      </c>
      <c r="B127">
        <v>21.5</v>
      </c>
      <c r="G127" t="s">
        <v>21</v>
      </c>
      <c r="H127" s="1">
        <v>45790</v>
      </c>
      <c r="I127" s="1">
        <v>45792</v>
      </c>
      <c r="J127">
        <f t="shared" si="2"/>
        <v>2</v>
      </c>
    </row>
    <row r="128" spans="1:10" x14ac:dyDescent="0.3">
      <c r="A128">
        <v>2228.4960000000001</v>
      </c>
      <c r="B128">
        <v>37.950000000000003</v>
      </c>
      <c r="G128" t="s">
        <v>22</v>
      </c>
      <c r="H128" s="1">
        <v>45503</v>
      </c>
      <c r="I128" s="1">
        <v>45510</v>
      </c>
      <c r="J128">
        <f t="shared" si="2"/>
        <v>7</v>
      </c>
    </row>
    <row r="129" spans="1:10" x14ac:dyDescent="0.3">
      <c r="A129">
        <v>117.05</v>
      </c>
      <c r="B129">
        <v>26.44</v>
      </c>
      <c r="G129" t="s">
        <v>19</v>
      </c>
      <c r="H129" s="1">
        <v>45491</v>
      </c>
      <c r="I129" s="1">
        <v>45500</v>
      </c>
      <c r="J129">
        <f t="shared" si="2"/>
        <v>9</v>
      </c>
    </row>
    <row r="130" spans="1:10" x14ac:dyDescent="0.3">
      <c r="A130">
        <v>8311.2999999999993</v>
      </c>
      <c r="B130">
        <v>21.77</v>
      </c>
      <c r="G130" t="s">
        <v>19</v>
      </c>
      <c r="H130" s="1">
        <v>45530</v>
      </c>
      <c r="I130" s="1">
        <v>45536</v>
      </c>
      <c r="J130">
        <f t="shared" si="2"/>
        <v>6</v>
      </c>
    </row>
    <row r="131" spans="1:10" x14ac:dyDescent="0.3">
      <c r="A131">
        <v>3009.5239999999999</v>
      </c>
      <c r="B131">
        <v>46.97</v>
      </c>
      <c r="G131" t="s">
        <v>23</v>
      </c>
      <c r="H131" s="1">
        <v>45816</v>
      </c>
      <c r="I131" s="1">
        <v>45823</v>
      </c>
      <c r="J131">
        <f t="shared" ref="J131:J194" si="3">I131-H131</f>
        <v>7</v>
      </c>
    </row>
    <row r="132" spans="1:10" x14ac:dyDescent="0.3">
      <c r="A132">
        <v>5117.6400000000003</v>
      </c>
      <c r="B132">
        <v>17.59</v>
      </c>
      <c r="G132" t="s">
        <v>21</v>
      </c>
      <c r="H132" s="1">
        <v>45793</v>
      </c>
      <c r="I132" s="1">
        <v>45800</v>
      </c>
      <c r="J132">
        <f t="shared" si="3"/>
        <v>7</v>
      </c>
    </row>
    <row r="133" spans="1:10" x14ac:dyDescent="0.3">
      <c r="A133">
        <v>6197.0999999999995</v>
      </c>
      <c r="B133">
        <v>28.76</v>
      </c>
      <c r="G133" t="s">
        <v>19</v>
      </c>
      <c r="H133" s="1">
        <v>45491</v>
      </c>
      <c r="I133" s="1">
        <v>45497</v>
      </c>
      <c r="J133">
        <f t="shared" si="3"/>
        <v>6</v>
      </c>
    </row>
    <row r="134" spans="1:10" x14ac:dyDescent="0.3">
      <c r="A134">
        <v>5633.28</v>
      </c>
      <c r="B134">
        <v>33.299999999999997</v>
      </c>
      <c r="G134" t="s">
        <v>23</v>
      </c>
      <c r="H134" s="1">
        <v>45186</v>
      </c>
      <c r="I134" s="1">
        <v>45195</v>
      </c>
      <c r="J134">
        <f t="shared" si="3"/>
        <v>9</v>
      </c>
    </row>
    <row r="135" spans="1:10" x14ac:dyDescent="0.3">
      <c r="A135">
        <v>3308.6410000000001</v>
      </c>
      <c r="B135">
        <v>21.76</v>
      </c>
      <c r="G135" t="s">
        <v>19</v>
      </c>
      <c r="H135" s="1">
        <v>44998</v>
      </c>
      <c r="I135" s="1">
        <v>45004</v>
      </c>
      <c r="J135">
        <f t="shared" si="3"/>
        <v>6</v>
      </c>
    </row>
    <row r="136" spans="1:10" x14ac:dyDescent="0.3">
      <c r="A136">
        <v>2148.1019999999999</v>
      </c>
      <c r="B136">
        <v>27.04</v>
      </c>
      <c r="G136" t="s">
        <v>20</v>
      </c>
      <c r="H136" s="1">
        <v>45014</v>
      </c>
      <c r="I136" s="1">
        <v>45019</v>
      </c>
      <c r="J136">
        <f t="shared" si="3"/>
        <v>5</v>
      </c>
    </row>
    <row r="137" spans="1:10" x14ac:dyDescent="0.3">
      <c r="A137">
        <v>2790.72</v>
      </c>
      <c r="B137">
        <v>44.75</v>
      </c>
      <c r="G137" t="s">
        <v>22</v>
      </c>
      <c r="H137" s="1">
        <v>45121</v>
      </c>
      <c r="I137" s="1">
        <v>45130</v>
      </c>
      <c r="J137">
        <f t="shared" si="3"/>
        <v>9</v>
      </c>
    </row>
    <row r="138" spans="1:10" x14ac:dyDescent="0.3">
      <c r="A138">
        <v>3592.9854999999998</v>
      </c>
      <c r="B138">
        <v>26.09</v>
      </c>
      <c r="G138" t="s">
        <v>23</v>
      </c>
      <c r="H138" s="1">
        <v>45373</v>
      </c>
      <c r="I138" s="1">
        <v>45382</v>
      </c>
      <c r="J138">
        <f t="shared" si="3"/>
        <v>9</v>
      </c>
    </row>
    <row r="139" spans="1:10" x14ac:dyDescent="0.3">
      <c r="A139">
        <v>2271.951</v>
      </c>
      <c r="B139">
        <v>35.39</v>
      </c>
      <c r="G139" t="s">
        <v>22</v>
      </c>
      <c r="H139" s="1">
        <v>45426</v>
      </c>
      <c r="I139" s="1">
        <v>45429</v>
      </c>
      <c r="J139">
        <f t="shared" si="3"/>
        <v>3</v>
      </c>
    </row>
    <row r="140" spans="1:10" x14ac:dyDescent="0.3">
      <c r="A140">
        <v>811.98400000000004</v>
      </c>
      <c r="B140">
        <v>19.420000000000002</v>
      </c>
      <c r="G140" t="s">
        <v>22</v>
      </c>
      <c r="H140" s="1">
        <v>45076</v>
      </c>
      <c r="I140" s="1">
        <v>45079</v>
      </c>
      <c r="J140">
        <f t="shared" si="3"/>
        <v>3</v>
      </c>
    </row>
    <row r="141" spans="1:10" x14ac:dyDescent="0.3">
      <c r="A141">
        <v>842.66899999999998</v>
      </c>
      <c r="B141">
        <v>13.65</v>
      </c>
      <c r="G141" t="s">
        <v>21</v>
      </c>
      <c r="H141" s="1">
        <v>45004</v>
      </c>
      <c r="I141" s="1">
        <v>45007</v>
      </c>
      <c r="J141">
        <f t="shared" si="3"/>
        <v>3</v>
      </c>
    </row>
    <row r="142" spans="1:10" x14ac:dyDescent="0.3">
      <c r="A142">
        <v>3100.9614999999999</v>
      </c>
      <c r="B142">
        <v>10.14</v>
      </c>
      <c r="G142" t="s">
        <v>22</v>
      </c>
      <c r="H142" s="1">
        <v>45147</v>
      </c>
      <c r="I142" s="1">
        <v>45152</v>
      </c>
      <c r="J142">
        <f t="shared" si="3"/>
        <v>5</v>
      </c>
    </row>
    <row r="143" spans="1:10" x14ac:dyDescent="0.3">
      <c r="A143">
        <v>4604.0929999999998</v>
      </c>
      <c r="B143">
        <v>21.74</v>
      </c>
      <c r="G143" t="s">
        <v>21</v>
      </c>
      <c r="H143" s="1">
        <v>45578</v>
      </c>
      <c r="I143" s="1">
        <v>45585</v>
      </c>
      <c r="J143">
        <f t="shared" si="3"/>
        <v>7</v>
      </c>
    </row>
    <row r="144" spans="1:10" x14ac:dyDescent="0.3">
      <c r="A144">
        <v>6484.2800000000007</v>
      </c>
      <c r="B144">
        <v>49.93</v>
      </c>
      <c r="G144" t="s">
        <v>19</v>
      </c>
      <c r="H144" s="1">
        <v>45705</v>
      </c>
      <c r="I144" s="1">
        <v>45713</v>
      </c>
      <c r="J144">
        <f t="shared" si="3"/>
        <v>8</v>
      </c>
    </row>
    <row r="145" spans="1:10" x14ac:dyDescent="0.3">
      <c r="A145">
        <v>2338.4520000000002</v>
      </c>
      <c r="B145">
        <v>20.3</v>
      </c>
      <c r="G145" t="s">
        <v>21</v>
      </c>
      <c r="H145" s="1">
        <v>45819</v>
      </c>
      <c r="I145" s="1">
        <v>45828</v>
      </c>
      <c r="J145">
        <f t="shared" si="3"/>
        <v>9</v>
      </c>
    </row>
    <row r="146" spans="1:10" x14ac:dyDescent="0.3">
      <c r="A146">
        <v>654.64</v>
      </c>
      <c r="B146">
        <v>31.8</v>
      </c>
      <c r="G146" t="s">
        <v>22</v>
      </c>
      <c r="H146" s="1">
        <v>45411</v>
      </c>
      <c r="I146" s="1">
        <v>45413</v>
      </c>
      <c r="J146">
        <f t="shared" si="3"/>
        <v>2</v>
      </c>
    </row>
    <row r="147" spans="1:10" x14ac:dyDescent="0.3">
      <c r="A147">
        <v>7820.6374999999998</v>
      </c>
      <c r="B147">
        <v>29.51</v>
      </c>
      <c r="G147" t="s">
        <v>23</v>
      </c>
      <c r="H147" s="1">
        <v>45003</v>
      </c>
      <c r="I147" s="1">
        <v>45005</v>
      </c>
      <c r="J147">
        <f t="shared" si="3"/>
        <v>2</v>
      </c>
    </row>
    <row r="148" spans="1:10" x14ac:dyDescent="0.3">
      <c r="A148">
        <v>3081.24</v>
      </c>
      <c r="B148">
        <v>31</v>
      </c>
      <c r="G148" t="s">
        <v>21</v>
      </c>
      <c r="H148" s="1">
        <v>45647</v>
      </c>
      <c r="I148" s="1">
        <v>45653</v>
      </c>
      <c r="J148">
        <f t="shared" si="3"/>
        <v>6</v>
      </c>
    </row>
    <row r="149" spans="1:10" x14ac:dyDescent="0.3">
      <c r="A149">
        <v>5085.4139999999998</v>
      </c>
      <c r="B149">
        <v>33.81</v>
      </c>
      <c r="G149" t="s">
        <v>23</v>
      </c>
      <c r="H149" s="1">
        <v>45039</v>
      </c>
      <c r="I149" s="1">
        <v>45048</v>
      </c>
      <c r="J149">
        <f t="shared" si="3"/>
        <v>9</v>
      </c>
    </row>
    <row r="150" spans="1:10" x14ac:dyDescent="0.3">
      <c r="A150">
        <v>3005.895</v>
      </c>
      <c r="B150">
        <v>10.91</v>
      </c>
      <c r="G150" t="s">
        <v>22</v>
      </c>
      <c r="H150" s="1">
        <v>45788</v>
      </c>
      <c r="I150" s="1">
        <v>45798</v>
      </c>
      <c r="J150">
        <f t="shared" si="3"/>
        <v>10</v>
      </c>
    </row>
    <row r="151" spans="1:10" x14ac:dyDescent="0.3">
      <c r="A151">
        <v>3445.2</v>
      </c>
      <c r="B151">
        <v>47.94</v>
      </c>
      <c r="G151" t="s">
        <v>20</v>
      </c>
      <c r="H151" s="1">
        <v>45354</v>
      </c>
      <c r="I151" s="1">
        <v>45356</v>
      </c>
      <c r="J151">
        <f t="shared" si="3"/>
        <v>2</v>
      </c>
    </row>
    <row r="152" spans="1:10" x14ac:dyDescent="0.3">
      <c r="A152">
        <v>985.03950000000009</v>
      </c>
      <c r="B152">
        <v>32.450000000000003</v>
      </c>
      <c r="G152" t="s">
        <v>21</v>
      </c>
      <c r="H152" s="1">
        <v>45677</v>
      </c>
      <c r="I152" s="1">
        <v>45687</v>
      </c>
      <c r="J152">
        <f t="shared" si="3"/>
        <v>10</v>
      </c>
    </row>
    <row r="153" spans="1:10" x14ac:dyDescent="0.3">
      <c r="A153">
        <v>1129.95</v>
      </c>
      <c r="B153">
        <v>10.88</v>
      </c>
      <c r="G153" t="s">
        <v>21</v>
      </c>
      <c r="H153" s="1">
        <v>45738</v>
      </c>
      <c r="I153" s="1">
        <v>45746</v>
      </c>
      <c r="J153">
        <f t="shared" si="3"/>
        <v>8</v>
      </c>
    </row>
    <row r="154" spans="1:10" x14ac:dyDescent="0.3">
      <c r="A154">
        <v>5313.52</v>
      </c>
      <c r="B154">
        <v>47.39</v>
      </c>
      <c r="G154" t="s">
        <v>20</v>
      </c>
      <c r="H154" s="1">
        <v>45744</v>
      </c>
      <c r="I154" s="1">
        <v>45746</v>
      </c>
      <c r="J154">
        <f t="shared" si="3"/>
        <v>2</v>
      </c>
    </row>
    <row r="155" spans="1:10" x14ac:dyDescent="0.3">
      <c r="A155">
        <v>5357.0595000000003</v>
      </c>
      <c r="B155">
        <v>17.61</v>
      </c>
      <c r="G155" t="s">
        <v>21</v>
      </c>
      <c r="H155" s="1">
        <v>45705</v>
      </c>
      <c r="I155" s="1">
        <v>45709</v>
      </c>
      <c r="J155">
        <f t="shared" si="3"/>
        <v>4</v>
      </c>
    </row>
    <row r="156" spans="1:10" x14ac:dyDescent="0.3">
      <c r="A156">
        <v>3186.6</v>
      </c>
      <c r="B156">
        <v>26.32</v>
      </c>
      <c r="G156" t="s">
        <v>20</v>
      </c>
      <c r="H156" s="1">
        <v>45604</v>
      </c>
      <c r="I156" s="1">
        <v>45607</v>
      </c>
      <c r="J156">
        <f t="shared" si="3"/>
        <v>3</v>
      </c>
    </row>
    <row r="157" spans="1:10" x14ac:dyDescent="0.3">
      <c r="A157">
        <v>551.13299999999992</v>
      </c>
      <c r="B157">
        <v>6.04</v>
      </c>
      <c r="G157" t="s">
        <v>20</v>
      </c>
      <c r="H157" s="1">
        <v>45368</v>
      </c>
      <c r="I157" s="1">
        <v>45372</v>
      </c>
      <c r="J157">
        <f t="shared" si="3"/>
        <v>4</v>
      </c>
    </row>
    <row r="158" spans="1:10" x14ac:dyDescent="0.3">
      <c r="A158">
        <v>1424.979</v>
      </c>
      <c r="B158">
        <v>48.66</v>
      </c>
      <c r="G158" t="s">
        <v>20</v>
      </c>
      <c r="H158" s="1">
        <v>45167</v>
      </c>
      <c r="I158" s="1">
        <v>45170</v>
      </c>
      <c r="J158">
        <f t="shared" si="3"/>
        <v>3</v>
      </c>
    </row>
    <row r="159" spans="1:10" x14ac:dyDescent="0.3">
      <c r="A159">
        <v>4075.26</v>
      </c>
      <c r="B159">
        <v>39.979999999999997</v>
      </c>
      <c r="G159" t="s">
        <v>20</v>
      </c>
      <c r="H159" s="1">
        <v>45099</v>
      </c>
      <c r="I159" s="1">
        <v>45107</v>
      </c>
      <c r="J159">
        <f t="shared" si="3"/>
        <v>8</v>
      </c>
    </row>
    <row r="160" spans="1:10" x14ac:dyDescent="0.3">
      <c r="A160">
        <v>2800.96</v>
      </c>
      <c r="B160">
        <v>31.65</v>
      </c>
      <c r="G160" t="s">
        <v>20</v>
      </c>
      <c r="H160" s="1">
        <v>45346</v>
      </c>
      <c r="I160" s="1">
        <v>45352</v>
      </c>
      <c r="J160">
        <f t="shared" si="3"/>
        <v>6</v>
      </c>
    </row>
    <row r="161" spans="1:10" x14ac:dyDescent="0.3">
      <c r="A161">
        <v>1854.97</v>
      </c>
      <c r="B161">
        <v>46.91</v>
      </c>
      <c r="G161" t="s">
        <v>21</v>
      </c>
      <c r="H161" s="1">
        <v>45392</v>
      </c>
      <c r="I161" s="1">
        <v>45397</v>
      </c>
      <c r="J161">
        <f t="shared" si="3"/>
        <v>5</v>
      </c>
    </row>
    <row r="162" spans="1:10" x14ac:dyDescent="0.3">
      <c r="A162">
        <v>3784.3</v>
      </c>
      <c r="B162">
        <v>7.66</v>
      </c>
      <c r="G162" t="s">
        <v>20</v>
      </c>
      <c r="H162" s="1">
        <v>45060</v>
      </c>
      <c r="I162" s="1">
        <v>45065</v>
      </c>
      <c r="J162">
        <f t="shared" si="3"/>
        <v>5</v>
      </c>
    </row>
    <row r="163" spans="1:10" x14ac:dyDescent="0.3">
      <c r="A163">
        <v>478.99200000000002</v>
      </c>
      <c r="B163">
        <v>11</v>
      </c>
      <c r="G163" t="s">
        <v>20</v>
      </c>
      <c r="H163" s="1">
        <v>44996</v>
      </c>
      <c r="I163" s="1">
        <v>45003</v>
      </c>
      <c r="J163">
        <f t="shared" si="3"/>
        <v>7</v>
      </c>
    </row>
    <row r="164" spans="1:10" x14ac:dyDescent="0.3">
      <c r="A164">
        <v>79.599999999999994</v>
      </c>
      <c r="B164">
        <v>8.66</v>
      </c>
      <c r="G164" t="s">
        <v>22</v>
      </c>
      <c r="H164" s="1">
        <v>45528</v>
      </c>
      <c r="I164" s="1">
        <v>45530</v>
      </c>
      <c r="J164">
        <f t="shared" si="3"/>
        <v>2</v>
      </c>
    </row>
    <row r="165" spans="1:10" x14ac:dyDescent="0.3">
      <c r="A165">
        <v>1634.992</v>
      </c>
      <c r="B165">
        <v>8.42</v>
      </c>
      <c r="G165" t="s">
        <v>20</v>
      </c>
      <c r="H165" s="1">
        <v>45345</v>
      </c>
      <c r="I165" s="1">
        <v>45352</v>
      </c>
      <c r="J165">
        <f t="shared" si="3"/>
        <v>7</v>
      </c>
    </row>
    <row r="166" spans="1:10" x14ac:dyDescent="0.3">
      <c r="A166">
        <v>1241.46</v>
      </c>
      <c r="B166">
        <v>39.32</v>
      </c>
      <c r="G166" t="s">
        <v>21</v>
      </c>
      <c r="H166" s="1">
        <v>45321</v>
      </c>
      <c r="I166" s="1">
        <v>45328</v>
      </c>
      <c r="J166">
        <f t="shared" si="3"/>
        <v>7</v>
      </c>
    </row>
    <row r="167" spans="1:10" x14ac:dyDescent="0.3">
      <c r="A167">
        <v>832.05000000000007</v>
      </c>
      <c r="B167">
        <v>42.61</v>
      </c>
      <c r="G167" t="s">
        <v>19</v>
      </c>
      <c r="H167" s="1">
        <v>45314</v>
      </c>
      <c r="I167" s="1">
        <v>45320</v>
      </c>
      <c r="J167">
        <f t="shared" si="3"/>
        <v>6</v>
      </c>
    </row>
    <row r="168" spans="1:10" x14ac:dyDescent="0.3">
      <c r="A168">
        <v>8806.69</v>
      </c>
      <c r="B168">
        <v>49.38</v>
      </c>
      <c r="G168" t="s">
        <v>21</v>
      </c>
      <c r="H168" s="1">
        <v>44931</v>
      </c>
      <c r="I168" s="1">
        <v>44934</v>
      </c>
      <c r="J168">
        <f t="shared" si="3"/>
        <v>3</v>
      </c>
    </row>
    <row r="169" spans="1:10" x14ac:dyDescent="0.3">
      <c r="A169">
        <v>1893.2550000000001</v>
      </c>
      <c r="B169">
        <v>5.36</v>
      </c>
      <c r="G169" t="s">
        <v>21</v>
      </c>
      <c r="H169" s="1">
        <v>45281</v>
      </c>
      <c r="I169" s="1">
        <v>45290</v>
      </c>
      <c r="J169">
        <f t="shared" si="3"/>
        <v>9</v>
      </c>
    </row>
    <row r="170" spans="1:10" x14ac:dyDescent="0.3">
      <c r="A170">
        <v>6521.75</v>
      </c>
      <c r="B170">
        <v>28.77</v>
      </c>
      <c r="G170" t="s">
        <v>23</v>
      </c>
      <c r="H170" s="1">
        <v>45071</v>
      </c>
      <c r="I170" s="1">
        <v>45079</v>
      </c>
      <c r="J170">
        <f t="shared" si="3"/>
        <v>8</v>
      </c>
    </row>
    <row r="171" spans="1:10" x14ac:dyDescent="0.3">
      <c r="A171">
        <v>485.72399999999988</v>
      </c>
      <c r="B171">
        <v>18.72</v>
      </c>
      <c r="G171" t="s">
        <v>22</v>
      </c>
      <c r="H171" s="1">
        <v>45838</v>
      </c>
      <c r="I171" s="1">
        <v>45846</v>
      </c>
      <c r="J171">
        <f t="shared" si="3"/>
        <v>8</v>
      </c>
    </row>
    <row r="172" spans="1:10" x14ac:dyDescent="0.3">
      <c r="A172">
        <v>1294.28</v>
      </c>
      <c r="B172">
        <v>7.79</v>
      </c>
      <c r="G172" t="s">
        <v>23</v>
      </c>
      <c r="H172" s="1">
        <v>45700</v>
      </c>
      <c r="I172" s="1">
        <v>45707</v>
      </c>
      <c r="J172">
        <f t="shared" si="3"/>
        <v>7</v>
      </c>
    </row>
    <row r="173" spans="1:10" x14ac:dyDescent="0.3">
      <c r="A173">
        <v>1774.548</v>
      </c>
      <c r="B173">
        <v>38.9</v>
      </c>
      <c r="G173" t="s">
        <v>23</v>
      </c>
      <c r="H173" s="1">
        <v>45294</v>
      </c>
      <c r="I173" s="1">
        <v>45298</v>
      </c>
      <c r="J173">
        <f t="shared" si="3"/>
        <v>4</v>
      </c>
    </row>
    <row r="174" spans="1:10" x14ac:dyDescent="0.3">
      <c r="A174">
        <v>2926.62</v>
      </c>
      <c r="B174">
        <v>47.39</v>
      </c>
      <c r="G174" t="s">
        <v>20</v>
      </c>
      <c r="H174" s="1">
        <v>44960</v>
      </c>
      <c r="I174" s="1">
        <v>44970</v>
      </c>
      <c r="J174">
        <f t="shared" si="3"/>
        <v>10</v>
      </c>
    </row>
    <row r="175" spans="1:10" x14ac:dyDescent="0.3">
      <c r="A175">
        <v>9227.94</v>
      </c>
      <c r="B175">
        <v>7.13</v>
      </c>
      <c r="G175" t="s">
        <v>19</v>
      </c>
      <c r="H175" s="1">
        <v>45352</v>
      </c>
      <c r="I175" s="1">
        <v>45359</v>
      </c>
      <c r="J175">
        <f t="shared" si="3"/>
        <v>7</v>
      </c>
    </row>
    <row r="176" spans="1:10" x14ac:dyDescent="0.3">
      <c r="A176">
        <v>2759.483999999999</v>
      </c>
      <c r="B176">
        <v>5.7</v>
      </c>
      <c r="G176" t="s">
        <v>21</v>
      </c>
      <c r="H176" s="1">
        <v>45070</v>
      </c>
      <c r="I176" s="1">
        <v>45079</v>
      </c>
      <c r="J176">
        <f t="shared" si="3"/>
        <v>9</v>
      </c>
    </row>
    <row r="177" spans="1:10" x14ac:dyDescent="0.3">
      <c r="A177">
        <v>8525.2619999999988</v>
      </c>
      <c r="B177">
        <v>21.32</v>
      </c>
      <c r="G177" t="s">
        <v>21</v>
      </c>
      <c r="H177" s="1">
        <v>45830</v>
      </c>
      <c r="I177" s="1">
        <v>45836</v>
      </c>
      <c r="J177">
        <f t="shared" si="3"/>
        <v>6</v>
      </c>
    </row>
    <row r="178" spans="1:10" x14ac:dyDescent="0.3">
      <c r="A178">
        <v>744.14449999999988</v>
      </c>
      <c r="B178">
        <v>44.2</v>
      </c>
      <c r="G178" t="s">
        <v>21</v>
      </c>
      <c r="H178" s="1">
        <v>45026</v>
      </c>
      <c r="I178" s="1">
        <v>45030</v>
      </c>
      <c r="J178">
        <f t="shared" si="3"/>
        <v>4</v>
      </c>
    </row>
    <row r="179" spans="1:10" x14ac:dyDescent="0.3">
      <c r="A179">
        <v>3888.56</v>
      </c>
      <c r="B179">
        <v>10.68</v>
      </c>
      <c r="G179" t="s">
        <v>22</v>
      </c>
      <c r="H179" s="1">
        <v>45720</v>
      </c>
      <c r="I179" s="1">
        <v>45726</v>
      </c>
      <c r="J179">
        <f t="shared" si="3"/>
        <v>6</v>
      </c>
    </row>
    <row r="180" spans="1:10" x14ac:dyDescent="0.3">
      <c r="A180">
        <v>2997.1619999999998</v>
      </c>
      <c r="B180">
        <v>23.69</v>
      </c>
      <c r="G180" t="s">
        <v>19</v>
      </c>
      <c r="H180" s="1">
        <v>45484</v>
      </c>
      <c r="I180" s="1">
        <v>45493</v>
      </c>
      <c r="J180">
        <f t="shared" si="3"/>
        <v>9</v>
      </c>
    </row>
    <row r="181" spans="1:10" x14ac:dyDescent="0.3">
      <c r="A181">
        <v>5474.04</v>
      </c>
      <c r="B181">
        <v>24.51</v>
      </c>
      <c r="G181" t="s">
        <v>19</v>
      </c>
      <c r="H181" s="1">
        <v>45521</v>
      </c>
      <c r="I181" s="1">
        <v>45524</v>
      </c>
      <c r="J181">
        <f t="shared" si="3"/>
        <v>3</v>
      </c>
    </row>
    <row r="182" spans="1:10" x14ac:dyDescent="0.3">
      <c r="A182">
        <v>1096.848</v>
      </c>
      <c r="B182">
        <v>41.88</v>
      </c>
      <c r="G182" t="s">
        <v>21</v>
      </c>
      <c r="H182" s="1">
        <v>45838</v>
      </c>
      <c r="I182" s="1">
        <v>45847</v>
      </c>
      <c r="J182">
        <f t="shared" si="3"/>
        <v>9</v>
      </c>
    </row>
    <row r="183" spans="1:10" x14ac:dyDescent="0.3">
      <c r="A183">
        <v>1359.585</v>
      </c>
      <c r="B183">
        <v>37.49</v>
      </c>
      <c r="G183" t="s">
        <v>20</v>
      </c>
      <c r="H183" s="1">
        <v>45602</v>
      </c>
      <c r="I183" s="1">
        <v>45609</v>
      </c>
      <c r="J183">
        <f t="shared" si="3"/>
        <v>7</v>
      </c>
    </row>
    <row r="184" spans="1:10" x14ac:dyDescent="0.3">
      <c r="A184">
        <v>157.80000000000001</v>
      </c>
      <c r="B184">
        <v>29.56</v>
      </c>
      <c r="G184" t="s">
        <v>19</v>
      </c>
      <c r="H184" s="1">
        <v>45748</v>
      </c>
      <c r="I184" s="1">
        <v>45751</v>
      </c>
      <c r="J184">
        <f t="shared" si="3"/>
        <v>3</v>
      </c>
    </row>
    <row r="185" spans="1:10" x14ac:dyDescent="0.3">
      <c r="A185">
        <v>1108.384</v>
      </c>
      <c r="B185">
        <v>5.7</v>
      </c>
      <c r="G185" t="s">
        <v>23</v>
      </c>
      <c r="H185" s="1">
        <v>45474</v>
      </c>
      <c r="I185" s="1">
        <v>45479</v>
      </c>
      <c r="J185">
        <f t="shared" si="3"/>
        <v>5</v>
      </c>
    </row>
    <row r="186" spans="1:10" x14ac:dyDescent="0.3">
      <c r="A186">
        <v>7215.0029999999997</v>
      </c>
      <c r="B186">
        <v>23.42</v>
      </c>
      <c r="G186" t="s">
        <v>23</v>
      </c>
      <c r="H186" s="1">
        <v>45269</v>
      </c>
      <c r="I186" s="1">
        <v>45278</v>
      </c>
      <c r="J186">
        <f t="shared" si="3"/>
        <v>9</v>
      </c>
    </row>
    <row r="187" spans="1:10" x14ac:dyDescent="0.3">
      <c r="A187">
        <v>6458.5350000000008</v>
      </c>
      <c r="B187">
        <v>35.630000000000003</v>
      </c>
      <c r="G187" t="s">
        <v>21</v>
      </c>
      <c r="H187" s="1">
        <v>45104</v>
      </c>
      <c r="I187" s="1">
        <v>45107</v>
      </c>
      <c r="J187">
        <f t="shared" si="3"/>
        <v>3</v>
      </c>
    </row>
    <row r="188" spans="1:10" x14ac:dyDescent="0.3">
      <c r="A188">
        <v>4515.66</v>
      </c>
      <c r="B188">
        <v>39.74</v>
      </c>
      <c r="G188" t="s">
        <v>20</v>
      </c>
      <c r="H188" s="1">
        <v>45121</v>
      </c>
      <c r="I188" s="1">
        <v>45124</v>
      </c>
      <c r="J188">
        <f t="shared" si="3"/>
        <v>3</v>
      </c>
    </row>
    <row r="189" spans="1:10" x14ac:dyDescent="0.3">
      <c r="A189">
        <v>1472.8035</v>
      </c>
      <c r="B189">
        <v>13.63</v>
      </c>
      <c r="G189" t="s">
        <v>20</v>
      </c>
      <c r="H189" s="1">
        <v>44965</v>
      </c>
      <c r="I189" s="1">
        <v>44973</v>
      </c>
      <c r="J189">
        <f t="shared" si="3"/>
        <v>8</v>
      </c>
    </row>
    <row r="190" spans="1:10" x14ac:dyDescent="0.3">
      <c r="A190">
        <v>900.20099999999991</v>
      </c>
      <c r="B190">
        <v>31.02</v>
      </c>
      <c r="G190" t="s">
        <v>23</v>
      </c>
      <c r="H190" s="1">
        <v>45471</v>
      </c>
      <c r="I190" s="1">
        <v>45480</v>
      </c>
      <c r="J190">
        <f t="shared" si="3"/>
        <v>9</v>
      </c>
    </row>
    <row r="191" spans="1:10" x14ac:dyDescent="0.3">
      <c r="A191">
        <v>286.86</v>
      </c>
      <c r="B191">
        <v>36.94</v>
      </c>
      <c r="G191" t="s">
        <v>23</v>
      </c>
      <c r="H191" s="1">
        <v>45397</v>
      </c>
      <c r="I191" s="1">
        <v>45404</v>
      </c>
      <c r="J191">
        <f t="shared" si="3"/>
        <v>7</v>
      </c>
    </row>
    <row r="192" spans="1:10" x14ac:dyDescent="0.3">
      <c r="A192">
        <v>6138.9</v>
      </c>
      <c r="B192">
        <v>18.54</v>
      </c>
      <c r="G192" t="s">
        <v>19</v>
      </c>
      <c r="H192" s="1">
        <v>45257</v>
      </c>
      <c r="I192" s="1">
        <v>45266</v>
      </c>
      <c r="J192">
        <f t="shared" si="3"/>
        <v>9</v>
      </c>
    </row>
    <row r="193" spans="1:10" x14ac:dyDescent="0.3">
      <c r="A193">
        <v>435.85</v>
      </c>
      <c r="B193">
        <v>13.01</v>
      </c>
      <c r="G193" t="s">
        <v>19</v>
      </c>
      <c r="H193" s="1">
        <v>45743</v>
      </c>
      <c r="I193" s="1">
        <v>45745</v>
      </c>
      <c r="J193">
        <f t="shared" si="3"/>
        <v>2</v>
      </c>
    </row>
    <row r="194" spans="1:10" x14ac:dyDescent="0.3">
      <c r="A194">
        <v>3139.4160000000002</v>
      </c>
      <c r="B194">
        <v>27.65</v>
      </c>
      <c r="G194" t="s">
        <v>20</v>
      </c>
      <c r="H194" s="1">
        <v>45144</v>
      </c>
      <c r="I194" s="1">
        <v>45148</v>
      </c>
      <c r="J194">
        <f t="shared" si="3"/>
        <v>4</v>
      </c>
    </row>
    <row r="195" spans="1:10" x14ac:dyDescent="0.3">
      <c r="A195">
        <v>728.53499999999997</v>
      </c>
      <c r="B195">
        <v>7.02</v>
      </c>
      <c r="G195" t="s">
        <v>20</v>
      </c>
      <c r="H195" s="1">
        <v>45639</v>
      </c>
      <c r="I195" s="1">
        <v>45648</v>
      </c>
      <c r="J195">
        <f t="shared" ref="J195:J258" si="4">I195-H195</f>
        <v>9</v>
      </c>
    </row>
    <row r="196" spans="1:10" x14ac:dyDescent="0.3">
      <c r="A196">
        <v>1899.954</v>
      </c>
      <c r="B196">
        <v>45.77</v>
      </c>
      <c r="G196" t="s">
        <v>22</v>
      </c>
      <c r="H196" s="1">
        <v>45674</v>
      </c>
      <c r="I196" s="1">
        <v>45683</v>
      </c>
      <c r="J196">
        <f t="shared" si="4"/>
        <v>9</v>
      </c>
    </row>
    <row r="197" spans="1:10" x14ac:dyDescent="0.3">
      <c r="A197">
        <v>1160.46</v>
      </c>
      <c r="B197">
        <v>18.170000000000002</v>
      </c>
      <c r="G197" t="s">
        <v>23</v>
      </c>
      <c r="H197" s="1">
        <v>45256</v>
      </c>
      <c r="I197" s="1">
        <v>45262</v>
      </c>
      <c r="J197">
        <f t="shared" si="4"/>
        <v>6</v>
      </c>
    </row>
    <row r="198" spans="1:10" x14ac:dyDescent="0.3">
      <c r="A198">
        <v>2961.0720000000001</v>
      </c>
      <c r="B198">
        <v>28.57</v>
      </c>
      <c r="G198" t="s">
        <v>19</v>
      </c>
      <c r="H198" s="1">
        <v>44971</v>
      </c>
      <c r="I198" s="1">
        <v>44975</v>
      </c>
      <c r="J198">
        <f t="shared" si="4"/>
        <v>4</v>
      </c>
    </row>
    <row r="199" spans="1:10" x14ac:dyDescent="0.3">
      <c r="A199">
        <v>1736.7</v>
      </c>
      <c r="B199">
        <v>31.8</v>
      </c>
      <c r="G199" t="s">
        <v>22</v>
      </c>
      <c r="H199" s="1">
        <v>45690</v>
      </c>
      <c r="I199" s="1">
        <v>45694</v>
      </c>
      <c r="J199">
        <f t="shared" si="4"/>
        <v>4</v>
      </c>
    </row>
    <row r="200" spans="1:10" x14ac:dyDescent="0.3">
      <c r="A200">
        <v>1313.604</v>
      </c>
      <c r="B200">
        <v>16.5</v>
      </c>
      <c r="G200" t="s">
        <v>23</v>
      </c>
      <c r="H200" s="1">
        <v>45027</v>
      </c>
      <c r="I200" s="1">
        <v>45036</v>
      </c>
      <c r="J200">
        <f t="shared" si="4"/>
        <v>9</v>
      </c>
    </row>
    <row r="201" spans="1:10" x14ac:dyDescent="0.3">
      <c r="A201">
        <v>6723.6480000000001</v>
      </c>
      <c r="B201">
        <v>33.58</v>
      </c>
      <c r="G201" t="s">
        <v>21</v>
      </c>
      <c r="H201" s="1">
        <v>45481</v>
      </c>
      <c r="I201" s="1">
        <v>45486</v>
      </c>
      <c r="J201">
        <f t="shared" si="4"/>
        <v>5</v>
      </c>
    </row>
    <row r="202" spans="1:10" x14ac:dyDescent="0.3">
      <c r="A202">
        <v>2670.8870000000002</v>
      </c>
      <c r="B202">
        <v>25.2</v>
      </c>
      <c r="G202" t="s">
        <v>22</v>
      </c>
      <c r="H202" s="1">
        <v>44965</v>
      </c>
      <c r="I202" s="1">
        <v>44971</v>
      </c>
      <c r="J202">
        <f t="shared" si="4"/>
        <v>6</v>
      </c>
    </row>
    <row r="203" spans="1:10" x14ac:dyDescent="0.3">
      <c r="A203">
        <v>234.94</v>
      </c>
      <c r="B203">
        <v>6.58</v>
      </c>
      <c r="G203" t="s">
        <v>23</v>
      </c>
      <c r="H203" s="1">
        <v>45391</v>
      </c>
      <c r="I203" s="1">
        <v>45398</v>
      </c>
      <c r="J203">
        <f t="shared" si="4"/>
        <v>7</v>
      </c>
    </row>
    <row r="204" spans="1:10" x14ac:dyDescent="0.3">
      <c r="A204">
        <v>3532.6934999999999</v>
      </c>
      <c r="B204">
        <v>47.81</v>
      </c>
      <c r="G204" t="s">
        <v>22</v>
      </c>
      <c r="H204" s="1">
        <v>45152</v>
      </c>
      <c r="I204" s="1">
        <v>45156</v>
      </c>
      <c r="J204">
        <f t="shared" si="4"/>
        <v>4</v>
      </c>
    </row>
    <row r="205" spans="1:10" x14ac:dyDescent="0.3">
      <c r="A205">
        <v>3767.3960000000002</v>
      </c>
      <c r="B205">
        <v>38.409999999999997</v>
      </c>
      <c r="G205" t="s">
        <v>23</v>
      </c>
      <c r="H205" s="1">
        <v>45537</v>
      </c>
      <c r="I205" s="1">
        <v>45541</v>
      </c>
      <c r="J205">
        <f t="shared" si="4"/>
        <v>4</v>
      </c>
    </row>
    <row r="206" spans="1:10" x14ac:dyDescent="0.3">
      <c r="A206">
        <v>3782.5680000000002</v>
      </c>
      <c r="B206">
        <v>24.29</v>
      </c>
      <c r="G206" t="s">
        <v>22</v>
      </c>
      <c r="H206" s="1">
        <v>45837</v>
      </c>
      <c r="I206" s="1">
        <v>45842</v>
      </c>
      <c r="J206">
        <f t="shared" si="4"/>
        <v>5</v>
      </c>
    </row>
    <row r="207" spans="1:10" x14ac:dyDescent="0.3">
      <c r="A207">
        <v>1102.3610000000001</v>
      </c>
      <c r="B207">
        <v>7.33</v>
      </c>
      <c r="G207" t="s">
        <v>23</v>
      </c>
      <c r="H207" s="1">
        <v>45749</v>
      </c>
      <c r="I207" s="1">
        <v>45755</v>
      </c>
      <c r="J207">
        <f t="shared" si="4"/>
        <v>6</v>
      </c>
    </row>
    <row r="208" spans="1:10" x14ac:dyDescent="0.3">
      <c r="A208">
        <v>4291.4399999999996</v>
      </c>
      <c r="B208">
        <v>14.58</v>
      </c>
      <c r="G208" t="s">
        <v>22</v>
      </c>
      <c r="H208" s="1">
        <v>45043</v>
      </c>
      <c r="I208" s="1">
        <v>45053</v>
      </c>
      <c r="J208">
        <f t="shared" si="4"/>
        <v>10</v>
      </c>
    </row>
    <row r="209" spans="1:10" x14ac:dyDescent="0.3">
      <c r="A209">
        <v>94.33</v>
      </c>
      <c r="B209">
        <v>49.17</v>
      </c>
      <c r="G209" t="s">
        <v>19</v>
      </c>
      <c r="H209" s="1">
        <v>45511</v>
      </c>
      <c r="I209" s="1">
        <v>45521</v>
      </c>
      <c r="J209">
        <f t="shared" si="4"/>
        <v>10</v>
      </c>
    </row>
    <row r="210" spans="1:10" x14ac:dyDescent="0.3">
      <c r="A210">
        <v>7055.1360000000004</v>
      </c>
      <c r="B210">
        <v>9.69</v>
      </c>
      <c r="G210" t="s">
        <v>23</v>
      </c>
      <c r="H210" s="1">
        <v>45031</v>
      </c>
      <c r="I210" s="1">
        <v>45041</v>
      </c>
      <c r="J210">
        <f t="shared" si="4"/>
        <v>10</v>
      </c>
    </row>
    <row r="211" spans="1:10" x14ac:dyDescent="0.3">
      <c r="A211">
        <v>2096.498</v>
      </c>
      <c r="B211">
        <v>26.32</v>
      </c>
      <c r="G211" t="s">
        <v>20</v>
      </c>
      <c r="H211" s="1">
        <v>45150</v>
      </c>
      <c r="I211" s="1">
        <v>45153</v>
      </c>
      <c r="J211">
        <f t="shared" si="4"/>
        <v>3</v>
      </c>
    </row>
    <row r="212" spans="1:10" x14ac:dyDescent="0.3">
      <c r="A212">
        <v>8605.9865000000009</v>
      </c>
      <c r="B212">
        <v>9.73</v>
      </c>
      <c r="G212" t="s">
        <v>23</v>
      </c>
      <c r="H212" s="1">
        <v>45096</v>
      </c>
      <c r="I212" s="1">
        <v>45105</v>
      </c>
      <c r="J212">
        <f t="shared" si="4"/>
        <v>9</v>
      </c>
    </row>
    <row r="213" spans="1:10" x14ac:dyDescent="0.3">
      <c r="A213">
        <v>162.108</v>
      </c>
      <c r="B213">
        <v>27.07</v>
      </c>
      <c r="G213" t="s">
        <v>19</v>
      </c>
      <c r="H213" s="1">
        <v>45289</v>
      </c>
      <c r="I213" s="1">
        <v>45298</v>
      </c>
      <c r="J213">
        <f t="shared" si="4"/>
        <v>9</v>
      </c>
    </row>
    <row r="214" spans="1:10" x14ac:dyDescent="0.3">
      <c r="A214">
        <v>3075.3</v>
      </c>
      <c r="B214">
        <v>43.67</v>
      </c>
      <c r="G214" t="s">
        <v>19</v>
      </c>
      <c r="H214" s="1">
        <v>45011</v>
      </c>
      <c r="I214" s="1">
        <v>45015</v>
      </c>
      <c r="J214">
        <f t="shared" si="4"/>
        <v>4</v>
      </c>
    </row>
    <row r="215" spans="1:10" x14ac:dyDescent="0.3">
      <c r="A215">
        <v>4650.3499999999995</v>
      </c>
      <c r="B215">
        <v>14.76</v>
      </c>
      <c r="G215" t="s">
        <v>20</v>
      </c>
      <c r="H215" s="1">
        <v>45170</v>
      </c>
      <c r="I215" s="1">
        <v>45176</v>
      </c>
      <c r="J215">
        <f t="shared" si="4"/>
        <v>6</v>
      </c>
    </row>
    <row r="216" spans="1:10" x14ac:dyDescent="0.3">
      <c r="A216">
        <v>1010.124</v>
      </c>
      <c r="B216">
        <v>11.03</v>
      </c>
      <c r="G216" t="s">
        <v>23</v>
      </c>
      <c r="H216" s="1">
        <v>45509</v>
      </c>
      <c r="I216" s="1">
        <v>45517</v>
      </c>
      <c r="J216">
        <f t="shared" si="4"/>
        <v>8</v>
      </c>
    </row>
    <row r="217" spans="1:10" x14ac:dyDescent="0.3">
      <c r="A217">
        <v>9000.32</v>
      </c>
      <c r="B217">
        <v>18.23</v>
      </c>
      <c r="G217" t="s">
        <v>21</v>
      </c>
      <c r="H217" s="1">
        <v>45680</v>
      </c>
      <c r="I217" s="1">
        <v>45684</v>
      </c>
      <c r="J217">
        <f t="shared" si="4"/>
        <v>4</v>
      </c>
    </row>
    <row r="218" spans="1:10" x14ac:dyDescent="0.3">
      <c r="A218">
        <v>306.57600000000002</v>
      </c>
      <c r="B218">
        <v>38.51</v>
      </c>
      <c r="G218" t="s">
        <v>19</v>
      </c>
      <c r="H218" s="1">
        <v>45062</v>
      </c>
      <c r="I218" s="1">
        <v>45069</v>
      </c>
      <c r="J218">
        <f t="shared" si="4"/>
        <v>7</v>
      </c>
    </row>
    <row r="219" spans="1:10" x14ac:dyDescent="0.3">
      <c r="A219">
        <v>4605.402</v>
      </c>
      <c r="B219">
        <v>9.5399999999999991</v>
      </c>
      <c r="G219" t="s">
        <v>21</v>
      </c>
      <c r="H219" s="1">
        <v>44971</v>
      </c>
      <c r="I219" s="1">
        <v>44979</v>
      </c>
      <c r="J219">
        <f t="shared" si="4"/>
        <v>8</v>
      </c>
    </row>
    <row r="220" spans="1:10" x14ac:dyDescent="0.3">
      <c r="A220">
        <v>220.8895</v>
      </c>
      <c r="B220">
        <v>19.2</v>
      </c>
      <c r="G220" t="s">
        <v>22</v>
      </c>
      <c r="H220" s="1">
        <v>45446</v>
      </c>
      <c r="I220" s="1">
        <v>45455</v>
      </c>
      <c r="J220">
        <f t="shared" si="4"/>
        <v>9</v>
      </c>
    </row>
    <row r="221" spans="1:10" x14ac:dyDescent="0.3">
      <c r="A221">
        <v>5096.75</v>
      </c>
      <c r="B221">
        <v>20.96</v>
      </c>
      <c r="G221" t="s">
        <v>22</v>
      </c>
      <c r="H221" s="1">
        <v>45238</v>
      </c>
      <c r="I221" s="1">
        <v>45245</v>
      </c>
      <c r="J221">
        <f t="shared" si="4"/>
        <v>7</v>
      </c>
    </row>
    <row r="222" spans="1:10" x14ac:dyDescent="0.3">
      <c r="A222">
        <v>2661.3</v>
      </c>
      <c r="B222">
        <v>21.01</v>
      </c>
      <c r="G222" t="s">
        <v>23</v>
      </c>
      <c r="H222" s="1">
        <v>44950</v>
      </c>
      <c r="I222" s="1">
        <v>44952</v>
      </c>
      <c r="J222">
        <f t="shared" si="4"/>
        <v>2</v>
      </c>
    </row>
    <row r="223" spans="1:10" x14ac:dyDescent="0.3">
      <c r="A223">
        <v>8431.3259999999991</v>
      </c>
      <c r="B223">
        <v>46.87</v>
      </c>
      <c r="G223" t="s">
        <v>23</v>
      </c>
      <c r="H223" s="1">
        <v>45736</v>
      </c>
      <c r="I223" s="1">
        <v>45744</v>
      </c>
      <c r="J223">
        <f t="shared" si="4"/>
        <v>8</v>
      </c>
    </row>
    <row r="224" spans="1:10" x14ac:dyDescent="0.3">
      <c r="A224">
        <v>139.916</v>
      </c>
      <c r="B224">
        <v>24.86</v>
      </c>
      <c r="G224" t="s">
        <v>23</v>
      </c>
      <c r="H224" s="1">
        <v>45344</v>
      </c>
      <c r="I224" s="1">
        <v>45352</v>
      </c>
      <c r="J224">
        <f t="shared" si="4"/>
        <v>8</v>
      </c>
    </row>
    <row r="225" spans="1:10" x14ac:dyDescent="0.3">
      <c r="A225">
        <v>4217.1899999999996</v>
      </c>
      <c r="B225">
        <v>23.25</v>
      </c>
      <c r="G225" t="s">
        <v>21</v>
      </c>
      <c r="H225" s="1">
        <v>45749</v>
      </c>
      <c r="I225" s="1">
        <v>45757</v>
      </c>
      <c r="J225">
        <f t="shared" si="4"/>
        <v>8</v>
      </c>
    </row>
    <row r="226" spans="1:10" x14ac:dyDescent="0.3">
      <c r="A226">
        <v>7630.875</v>
      </c>
      <c r="B226">
        <v>14.88</v>
      </c>
      <c r="G226" t="s">
        <v>21</v>
      </c>
      <c r="H226" s="1">
        <v>45820</v>
      </c>
      <c r="I226" s="1">
        <v>45826</v>
      </c>
      <c r="J226">
        <f t="shared" si="4"/>
        <v>6</v>
      </c>
    </row>
    <row r="227" spans="1:10" x14ac:dyDescent="0.3">
      <c r="A227">
        <v>492.48149999999998</v>
      </c>
      <c r="B227">
        <v>15.66</v>
      </c>
      <c r="G227" t="s">
        <v>19</v>
      </c>
      <c r="H227" s="1">
        <v>45059</v>
      </c>
      <c r="I227" s="1">
        <v>45063</v>
      </c>
      <c r="J227">
        <f t="shared" si="4"/>
        <v>4</v>
      </c>
    </row>
    <row r="228" spans="1:10" x14ac:dyDescent="0.3">
      <c r="A228">
        <v>5777.96</v>
      </c>
      <c r="B228">
        <v>44.86</v>
      </c>
      <c r="G228" t="s">
        <v>20</v>
      </c>
      <c r="H228" s="1">
        <v>45010</v>
      </c>
      <c r="I228" s="1">
        <v>45013</v>
      </c>
      <c r="J228">
        <f t="shared" si="4"/>
        <v>3</v>
      </c>
    </row>
    <row r="229" spans="1:10" x14ac:dyDescent="0.3">
      <c r="A229">
        <v>5883.768</v>
      </c>
      <c r="B229">
        <v>39.76</v>
      </c>
      <c r="G229" t="s">
        <v>20</v>
      </c>
      <c r="H229" s="1">
        <v>45618</v>
      </c>
      <c r="I229" s="1">
        <v>45621</v>
      </c>
      <c r="J229">
        <f t="shared" si="4"/>
        <v>3</v>
      </c>
    </row>
    <row r="230" spans="1:10" x14ac:dyDescent="0.3">
      <c r="A230">
        <v>215.73</v>
      </c>
      <c r="B230">
        <v>46.25</v>
      </c>
      <c r="G230" t="s">
        <v>19</v>
      </c>
      <c r="H230" s="1">
        <v>45114</v>
      </c>
      <c r="I230" s="1">
        <v>45124</v>
      </c>
      <c r="J230">
        <f t="shared" si="4"/>
        <v>10</v>
      </c>
    </row>
    <row r="231" spans="1:10" x14ac:dyDescent="0.3">
      <c r="A231">
        <v>10949.7</v>
      </c>
      <c r="B231">
        <v>25.22</v>
      </c>
      <c r="G231" t="s">
        <v>19</v>
      </c>
      <c r="H231" s="1">
        <v>45570</v>
      </c>
      <c r="I231" s="1">
        <v>45574</v>
      </c>
      <c r="J231">
        <f t="shared" si="4"/>
        <v>4</v>
      </c>
    </row>
    <row r="232" spans="1:10" x14ac:dyDescent="0.3">
      <c r="A232">
        <v>844.19999999999993</v>
      </c>
      <c r="B232">
        <v>43.8</v>
      </c>
      <c r="G232" t="s">
        <v>23</v>
      </c>
      <c r="H232" s="1">
        <v>45382</v>
      </c>
      <c r="I232" s="1">
        <v>45390</v>
      </c>
      <c r="J232">
        <f t="shared" si="4"/>
        <v>8</v>
      </c>
    </row>
    <row r="233" spans="1:10" x14ac:dyDescent="0.3">
      <c r="A233">
        <v>731.04399999999998</v>
      </c>
      <c r="B233">
        <v>34.07</v>
      </c>
      <c r="G233" t="s">
        <v>23</v>
      </c>
      <c r="H233" s="1">
        <v>45748</v>
      </c>
      <c r="I233" s="1">
        <v>45751</v>
      </c>
      <c r="J233">
        <f t="shared" si="4"/>
        <v>3</v>
      </c>
    </row>
    <row r="234" spans="1:10" x14ac:dyDescent="0.3">
      <c r="A234">
        <v>6266.5609999999997</v>
      </c>
      <c r="B234">
        <v>26.38</v>
      </c>
      <c r="G234" t="s">
        <v>23</v>
      </c>
      <c r="H234" s="1">
        <v>45161</v>
      </c>
      <c r="I234" s="1">
        <v>45164</v>
      </c>
      <c r="J234">
        <f t="shared" si="4"/>
        <v>3</v>
      </c>
    </row>
    <row r="235" spans="1:10" x14ac:dyDescent="0.3">
      <c r="A235">
        <v>257.94000000000011</v>
      </c>
      <c r="B235">
        <v>6.22</v>
      </c>
      <c r="G235" t="s">
        <v>20</v>
      </c>
      <c r="H235" s="1">
        <v>45518</v>
      </c>
      <c r="I235" s="1">
        <v>45525</v>
      </c>
      <c r="J235">
        <f t="shared" si="4"/>
        <v>7</v>
      </c>
    </row>
    <row r="236" spans="1:10" x14ac:dyDescent="0.3">
      <c r="A236">
        <v>7644.0329999999994</v>
      </c>
      <c r="B236">
        <v>9.64</v>
      </c>
      <c r="G236" t="s">
        <v>22</v>
      </c>
      <c r="H236" s="1">
        <v>45702</v>
      </c>
      <c r="I236" s="1">
        <v>45707</v>
      </c>
      <c r="J236">
        <f t="shared" si="4"/>
        <v>5</v>
      </c>
    </row>
    <row r="237" spans="1:10" x14ac:dyDescent="0.3">
      <c r="A237">
        <v>205.75800000000001</v>
      </c>
      <c r="B237">
        <v>22.72</v>
      </c>
      <c r="G237" t="s">
        <v>23</v>
      </c>
      <c r="H237" s="1">
        <v>45241</v>
      </c>
      <c r="I237" s="1">
        <v>45246</v>
      </c>
      <c r="J237">
        <f t="shared" si="4"/>
        <v>5</v>
      </c>
    </row>
    <row r="238" spans="1:10" x14ac:dyDescent="0.3">
      <c r="A238">
        <v>6944.9589999999998</v>
      </c>
      <c r="B238">
        <v>37.090000000000003</v>
      </c>
      <c r="G238" t="s">
        <v>22</v>
      </c>
      <c r="H238" s="1">
        <v>45383</v>
      </c>
      <c r="I238" s="1">
        <v>45391</v>
      </c>
      <c r="J238">
        <f t="shared" si="4"/>
        <v>8</v>
      </c>
    </row>
    <row r="239" spans="1:10" x14ac:dyDescent="0.3">
      <c r="A239">
        <v>2640.24</v>
      </c>
      <c r="B239">
        <v>29.4</v>
      </c>
      <c r="G239" t="s">
        <v>20</v>
      </c>
      <c r="H239" s="1">
        <v>45456</v>
      </c>
      <c r="I239" s="1">
        <v>45463</v>
      </c>
      <c r="J239">
        <f t="shared" si="4"/>
        <v>7</v>
      </c>
    </row>
    <row r="240" spans="1:10" x14ac:dyDescent="0.3">
      <c r="A240">
        <v>2819.2860000000001</v>
      </c>
      <c r="B240">
        <v>32.19</v>
      </c>
      <c r="G240" t="s">
        <v>21</v>
      </c>
      <c r="H240" s="1">
        <v>45258</v>
      </c>
      <c r="I240" s="1">
        <v>45263</v>
      </c>
      <c r="J240">
        <f t="shared" si="4"/>
        <v>5</v>
      </c>
    </row>
    <row r="241" spans="1:10" x14ac:dyDescent="0.3">
      <c r="A241">
        <v>2831.895</v>
      </c>
      <c r="B241">
        <v>8.59</v>
      </c>
      <c r="G241" t="s">
        <v>22</v>
      </c>
      <c r="H241" s="1">
        <v>45607</v>
      </c>
      <c r="I241" s="1">
        <v>45612</v>
      </c>
      <c r="J241">
        <f t="shared" si="4"/>
        <v>5</v>
      </c>
    </row>
    <row r="242" spans="1:10" x14ac:dyDescent="0.3">
      <c r="A242">
        <v>651.67999999999995</v>
      </c>
      <c r="B242">
        <v>24.72</v>
      </c>
      <c r="G242" t="s">
        <v>21</v>
      </c>
      <c r="H242" s="1">
        <v>45600</v>
      </c>
      <c r="I242" s="1">
        <v>45604</v>
      </c>
      <c r="J242">
        <f t="shared" si="4"/>
        <v>4</v>
      </c>
    </row>
    <row r="243" spans="1:10" x14ac:dyDescent="0.3">
      <c r="A243">
        <v>5150.42</v>
      </c>
      <c r="B243">
        <v>19.920000000000002</v>
      </c>
      <c r="G243" t="s">
        <v>22</v>
      </c>
      <c r="H243" s="1">
        <v>44927</v>
      </c>
      <c r="I243" s="1">
        <v>44937</v>
      </c>
      <c r="J243">
        <f t="shared" si="4"/>
        <v>10</v>
      </c>
    </row>
    <row r="244" spans="1:10" x14ac:dyDescent="0.3">
      <c r="A244">
        <v>370.38600000000002</v>
      </c>
      <c r="B244">
        <v>7.46</v>
      </c>
      <c r="G244" t="s">
        <v>21</v>
      </c>
      <c r="H244" s="1">
        <v>45675</v>
      </c>
      <c r="I244" s="1">
        <v>45677</v>
      </c>
      <c r="J244">
        <f t="shared" si="4"/>
        <v>2</v>
      </c>
    </row>
    <row r="245" spans="1:10" x14ac:dyDescent="0.3">
      <c r="A245">
        <v>1657.37</v>
      </c>
      <c r="B245">
        <v>9.6</v>
      </c>
      <c r="G245" t="s">
        <v>22</v>
      </c>
      <c r="H245" s="1">
        <v>45048</v>
      </c>
      <c r="I245" s="1">
        <v>45056</v>
      </c>
      <c r="J245">
        <f t="shared" si="4"/>
        <v>8</v>
      </c>
    </row>
    <row r="246" spans="1:10" x14ac:dyDescent="0.3">
      <c r="A246">
        <v>2985.4549999999999</v>
      </c>
      <c r="B246">
        <v>42.74</v>
      </c>
      <c r="G246" t="s">
        <v>23</v>
      </c>
      <c r="H246" s="1">
        <v>45804</v>
      </c>
      <c r="I246" s="1">
        <v>45810</v>
      </c>
      <c r="J246">
        <f t="shared" si="4"/>
        <v>6</v>
      </c>
    </row>
    <row r="247" spans="1:10" x14ac:dyDescent="0.3">
      <c r="A247">
        <v>6944.3639999999996</v>
      </c>
      <c r="B247">
        <v>12.35</v>
      </c>
      <c r="G247" t="s">
        <v>20</v>
      </c>
      <c r="H247" s="1">
        <v>45653</v>
      </c>
      <c r="I247" s="1">
        <v>45662</v>
      </c>
      <c r="J247">
        <f t="shared" si="4"/>
        <v>9</v>
      </c>
    </row>
    <row r="248" spans="1:10" x14ac:dyDescent="0.3">
      <c r="A248">
        <v>236.03399999999999</v>
      </c>
      <c r="B248">
        <v>14.74</v>
      </c>
      <c r="G248" t="s">
        <v>23</v>
      </c>
      <c r="H248" s="1">
        <v>45734</v>
      </c>
      <c r="I248" s="1">
        <v>45740</v>
      </c>
      <c r="J248">
        <f t="shared" si="4"/>
        <v>6</v>
      </c>
    </row>
    <row r="249" spans="1:10" x14ac:dyDescent="0.3">
      <c r="A249">
        <v>3570.66</v>
      </c>
      <c r="B249">
        <v>28.92</v>
      </c>
      <c r="G249" t="s">
        <v>19</v>
      </c>
      <c r="H249" s="1">
        <v>45375</v>
      </c>
      <c r="I249" s="1">
        <v>45382</v>
      </c>
      <c r="J249">
        <f t="shared" si="4"/>
        <v>7</v>
      </c>
    </row>
    <row r="250" spans="1:10" x14ac:dyDescent="0.3">
      <c r="A250">
        <v>2944.962</v>
      </c>
      <c r="B250">
        <v>5.15</v>
      </c>
      <c r="G250" t="s">
        <v>19</v>
      </c>
      <c r="H250" s="1">
        <v>45652</v>
      </c>
      <c r="I250" s="1">
        <v>45660</v>
      </c>
      <c r="J250">
        <f t="shared" si="4"/>
        <v>8</v>
      </c>
    </row>
    <row r="251" spans="1:10" x14ac:dyDescent="0.3">
      <c r="A251">
        <v>1154.6489999999999</v>
      </c>
      <c r="B251">
        <v>24.39</v>
      </c>
      <c r="G251" t="s">
        <v>21</v>
      </c>
      <c r="H251" s="1">
        <v>44937</v>
      </c>
      <c r="I251" s="1">
        <v>44940</v>
      </c>
      <c r="J251">
        <f t="shared" si="4"/>
        <v>3</v>
      </c>
    </row>
    <row r="252" spans="1:10" x14ac:dyDescent="0.3">
      <c r="A252">
        <v>3383.0680000000002</v>
      </c>
      <c r="B252">
        <v>25.16</v>
      </c>
      <c r="G252" t="s">
        <v>20</v>
      </c>
      <c r="H252" s="1">
        <v>45809</v>
      </c>
      <c r="I252" s="1">
        <v>45818</v>
      </c>
      <c r="J252">
        <f t="shared" si="4"/>
        <v>9</v>
      </c>
    </row>
    <row r="253" spans="1:10" x14ac:dyDescent="0.3">
      <c r="A253">
        <v>4420.1190000000006</v>
      </c>
      <c r="B253">
        <v>16.8</v>
      </c>
      <c r="G253" t="s">
        <v>19</v>
      </c>
      <c r="H253" s="1">
        <v>45561</v>
      </c>
      <c r="I253" s="1">
        <v>45566</v>
      </c>
      <c r="J253">
        <f t="shared" si="4"/>
        <v>5</v>
      </c>
    </row>
    <row r="254" spans="1:10" x14ac:dyDescent="0.3">
      <c r="A254">
        <v>6072.66</v>
      </c>
      <c r="B254">
        <v>43.17</v>
      </c>
      <c r="G254" t="s">
        <v>19</v>
      </c>
      <c r="H254" s="1">
        <v>45514</v>
      </c>
      <c r="I254" s="1">
        <v>45521</v>
      </c>
      <c r="J254">
        <f t="shared" si="4"/>
        <v>7</v>
      </c>
    </row>
    <row r="255" spans="1:10" x14ac:dyDescent="0.3">
      <c r="A255">
        <v>369.79199999999997</v>
      </c>
      <c r="B255">
        <v>17.64</v>
      </c>
      <c r="G255" t="s">
        <v>20</v>
      </c>
      <c r="H255" s="1">
        <v>45718</v>
      </c>
      <c r="I255" s="1">
        <v>45726</v>
      </c>
      <c r="J255">
        <f t="shared" si="4"/>
        <v>8</v>
      </c>
    </row>
    <row r="256" spans="1:10" x14ac:dyDescent="0.3">
      <c r="A256">
        <v>1908.2</v>
      </c>
      <c r="B256">
        <v>45.54</v>
      </c>
      <c r="G256" t="s">
        <v>19</v>
      </c>
      <c r="H256" s="1">
        <v>44978</v>
      </c>
      <c r="I256" s="1">
        <v>44987</v>
      </c>
      <c r="J256">
        <f t="shared" si="4"/>
        <v>9</v>
      </c>
    </row>
    <row r="257" spans="1:10" x14ac:dyDescent="0.3">
      <c r="A257">
        <v>3377.58</v>
      </c>
      <c r="B257">
        <v>43.73</v>
      </c>
      <c r="G257" t="s">
        <v>19</v>
      </c>
      <c r="H257" s="1">
        <v>45616</v>
      </c>
      <c r="I257" s="1">
        <v>45623</v>
      </c>
      <c r="J257">
        <f t="shared" si="4"/>
        <v>7</v>
      </c>
    </row>
    <row r="258" spans="1:10" x14ac:dyDescent="0.3">
      <c r="A258">
        <v>365.8</v>
      </c>
      <c r="B258">
        <v>35.369999999999997</v>
      </c>
      <c r="G258" t="s">
        <v>19</v>
      </c>
      <c r="H258" s="1">
        <v>45164</v>
      </c>
      <c r="I258" s="1">
        <v>45167</v>
      </c>
      <c r="J258">
        <f t="shared" si="4"/>
        <v>3</v>
      </c>
    </row>
    <row r="259" spans="1:10" x14ac:dyDescent="0.3">
      <c r="A259">
        <v>1462.02</v>
      </c>
      <c r="B259">
        <v>20.64</v>
      </c>
      <c r="G259" t="s">
        <v>20</v>
      </c>
      <c r="H259" s="1">
        <v>45292</v>
      </c>
      <c r="I259" s="1">
        <v>45299</v>
      </c>
      <c r="J259">
        <f t="shared" ref="J259:J322" si="5">I259-H259</f>
        <v>7</v>
      </c>
    </row>
    <row r="260" spans="1:10" x14ac:dyDescent="0.3">
      <c r="A260">
        <v>3766.1039999999998</v>
      </c>
      <c r="B260">
        <v>48.33</v>
      </c>
      <c r="G260" t="s">
        <v>20</v>
      </c>
      <c r="H260" s="1">
        <v>45620</v>
      </c>
      <c r="I260" s="1">
        <v>45626</v>
      </c>
      <c r="J260">
        <f t="shared" si="5"/>
        <v>6</v>
      </c>
    </row>
    <row r="261" spans="1:10" x14ac:dyDescent="0.3">
      <c r="A261">
        <v>299.04700000000003</v>
      </c>
      <c r="B261">
        <v>17.12</v>
      </c>
      <c r="G261" t="s">
        <v>20</v>
      </c>
      <c r="H261" s="1">
        <v>45529</v>
      </c>
      <c r="I261" s="1">
        <v>45536</v>
      </c>
      <c r="J261">
        <f t="shared" si="5"/>
        <v>7</v>
      </c>
    </row>
    <row r="262" spans="1:10" x14ac:dyDescent="0.3">
      <c r="A262">
        <v>636.803</v>
      </c>
      <c r="B262">
        <v>34.64</v>
      </c>
      <c r="G262" t="s">
        <v>20</v>
      </c>
      <c r="H262" s="1">
        <v>45087</v>
      </c>
      <c r="I262" s="1">
        <v>45095</v>
      </c>
      <c r="J262">
        <f t="shared" si="5"/>
        <v>8</v>
      </c>
    </row>
    <row r="263" spans="1:10" x14ac:dyDescent="0.3">
      <c r="A263">
        <v>2945.88</v>
      </c>
      <c r="B263">
        <v>15.64</v>
      </c>
      <c r="G263" t="s">
        <v>21</v>
      </c>
      <c r="H263" s="1">
        <v>45644</v>
      </c>
      <c r="I263" s="1">
        <v>45652</v>
      </c>
      <c r="J263">
        <f t="shared" si="5"/>
        <v>8</v>
      </c>
    </row>
    <row r="264" spans="1:10" x14ac:dyDescent="0.3">
      <c r="A264">
        <v>1072.2840000000001</v>
      </c>
      <c r="B264">
        <v>6.15</v>
      </c>
      <c r="G264" t="s">
        <v>19</v>
      </c>
      <c r="H264" s="1">
        <v>45166</v>
      </c>
      <c r="I264" s="1">
        <v>45170</v>
      </c>
      <c r="J264">
        <f t="shared" si="5"/>
        <v>4</v>
      </c>
    </row>
    <row r="265" spans="1:10" x14ac:dyDescent="0.3">
      <c r="A265">
        <v>1826.37</v>
      </c>
      <c r="B265">
        <v>17.690000000000001</v>
      </c>
      <c r="G265" t="s">
        <v>23</v>
      </c>
      <c r="H265" s="1">
        <v>44948</v>
      </c>
      <c r="I265" s="1">
        <v>44957</v>
      </c>
      <c r="J265">
        <f t="shared" si="5"/>
        <v>9</v>
      </c>
    </row>
    <row r="266" spans="1:10" x14ac:dyDescent="0.3">
      <c r="A266">
        <v>1291.1415</v>
      </c>
      <c r="B266">
        <v>25.71</v>
      </c>
      <c r="G266" t="s">
        <v>21</v>
      </c>
      <c r="H266" s="1">
        <v>44964</v>
      </c>
      <c r="I266" s="1">
        <v>44971</v>
      </c>
      <c r="J266">
        <f t="shared" si="5"/>
        <v>7</v>
      </c>
    </row>
    <row r="267" spans="1:10" x14ac:dyDescent="0.3">
      <c r="A267">
        <v>1054.348</v>
      </c>
      <c r="B267">
        <v>48.51</v>
      </c>
      <c r="G267" t="s">
        <v>20</v>
      </c>
      <c r="H267" s="1">
        <v>45252</v>
      </c>
      <c r="I267" s="1">
        <v>45259</v>
      </c>
      <c r="J267">
        <f t="shared" si="5"/>
        <v>7</v>
      </c>
    </row>
    <row r="268" spans="1:10" x14ac:dyDescent="0.3">
      <c r="A268">
        <v>686.10300000000007</v>
      </c>
      <c r="B268">
        <v>33.5</v>
      </c>
      <c r="G268" t="s">
        <v>23</v>
      </c>
      <c r="H268" s="1">
        <v>44951</v>
      </c>
      <c r="I268" s="1">
        <v>44955</v>
      </c>
      <c r="J268">
        <f t="shared" si="5"/>
        <v>4</v>
      </c>
    </row>
    <row r="269" spans="1:10" x14ac:dyDescent="0.3">
      <c r="A269">
        <v>6428.9159999999993</v>
      </c>
      <c r="B269">
        <v>26.78</v>
      </c>
      <c r="G269" t="s">
        <v>20</v>
      </c>
      <c r="H269" s="1">
        <v>45721</v>
      </c>
      <c r="I269" s="1">
        <v>45725</v>
      </c>
      <c r="J269">
        <f t="shared" si="5"/>
        <v>4</v>
      </c>
    </row>
    <row r="270" spans="1:10" x14ac:dyDescent="0.3">
      <c r="A270">
        <v>4846.2299999999996</v>
      </c>
      <c r="B270">
        <v>17.25</v>
      </c>
      <c r="G270" t="s">
        <v>21</v>
      </c>
      <c r="H270" s="1">
        <v>44959</v>
      </c>
      <c r="I270" s="1">
        <v>44969</v>
      </c>
      <c r="J270">
        <f t="shared" si="5"/>
        <v>10</v>
      </c>
    </row>
    <row r="271" spans="1:10" x14ac:dyDescent="0.3">
      <c r="A271">
        <v>6823.4400000000014</v>
      </c>
      <c r="B271">
        <v>37.5</v>
      </c>
      <c r="G271" t="s">
        <v>21</v>
      </c>
      <c r="H271" s="1">
        <v>45070</v>
      </c>
      <c r="I271" s="1">
        <v>45078</v>
      </c>
      <c r="J271">
        <f t="shared" si="5"/>
        <v>8</v>
      </c>
    </row>
    <row r="272" spans="1:10" x14ac:dyDescent="0.3">
      <c r="A272">
        <v>1061.106</v>
      </c>
      <c r="B272">
        <v>17.989999999999998</v>
      </c>
      <c r="G272" t="s">
        <v>20</v>
      </c>
      <c r="H272" s="1">
        <v>45442</v>
      </c>
      <c r="I272" s="1">
        <v>45449</v>
      </c>
      <c r="J272">
        <f t="shared" si="5"/>
        <v>7</v>
      </c>
    </row>
    <row r="273" spans="1:10" x14ac:dyDescent="0.3">
      <c r="A273">
        <v>7389.6450000000004</v>
      </c>
      <c r="B273">
        <v>31.22</v>
      </c>
      <c r="G273" t="s">
        <v>23</v>
      </c>
      <c r="H273" s="1">
        <v>45314</v>
      </c>
      <c r="I273" s="1">
        <v>45322</v>
      </c>
      <c r="J273">
        <f t="shared" si="5"/>
        <v>8</v>
      </c>
    </row>
    <row r="274" spans="1:10" x14ac:dyDescent="0.3">
      <c r="A274">
        <v>1848.155</v>
      </c>
      <c r="B274">
        <v>33.14</v>
      </c>
      <c r="G274" t="s">
        <v>21</v>
      </c>
      <c r="H274" s="1">
        <v>44963</v>
      </c>
      <c r="I274" s="1">
        <v>44972</v>
      </c>
      <c r="J274">
        <f t="shared" si="5"/>
        <v>9</v>
      </c>
    </row>
    <row r="275" spans="1:10" x14ac:dyDescent="0.3">
      <c r="A275">
        <v>6785.1374999999998</v>
      </c>
      <c r="B275">
        <v>24.48</v>
      </c>
      <c r="G275" t="s">
        <v>23</v>
      </c>
      <c r="H275" s="1">
        <v>45488</v>
      </c>
      <c r="I275" s="1">
        <v>45492</v>
      </c>
      <c r="J275">
        <f t="shared" si="5"/>
        <v>4</v>
      </c>
    </row>
    <row r="276" spans="1:10" x14ac:dyDescent="0.3">
      <c r="A276">
        <v>400.63499999999999</v>
      </c>
      <c r="B276">
        <v>22.42</v>
      </c>
      <c r="G276" t="s">
        <v>19</v>
      </c>
      <c r="H276" s="1">
        <v>45722</v>
      </c>
      <c r="I276" s="1">
        <v>45732</v>
      </c>
      <c r="J276">
        <f t="shared" si="5"/>
        <v>10</v>
      </c>
    </row>
    <row r="277" spans="1:10" x14ac:dyDescent="0.3">
      <c r="A277">
        <v>105.264</v>
      </c>
      <c r="B277">
        <v>42.37</v>
      </c>
      <c r="G277" t="s">
        <v>22</v>
      </c>
      <c r="H277" s="1">
        <v>45136</v>
      </c>
      <c r="I277" s="1">
        <v>45146</v>
      </c>
      <c r="J277">
        <f t="shared" si="5"/>
        <v>10</v>
      </c>
    </row>
    <row r="278" spans="1:10" x14ac:dyDescent="0.3">
      <c r="A278">
        <v>1918.404</v>
      </c>
      <c r="B278">
        <v>30.49</v>
      </c>
      <c r="G278" t="s">
        <v>21</v>
      </c>
      <c r="H278" s="1">
        <v>45133</v>
      </c>
      <c r="I278" s="1">
        <v>45136</v>
      </c>
      <c r="J278">
        <f t="shared" si="5"/>
        <v>3</v>
      </c>
    </row>
    <row r="279" spans="1:10" x14ac:dyDescent="0.3">
      <c r="A279">
        <v>2122.2719999999999</v>
      </c>
      <c r="B279">
        <v>36.04</v>
      </c>
      <c r="G279" t="s">
        <v>23</v>
      </c>
      <c r="H279" s="1">
        <v>45392</v>
      </c>
      <c r="I279" s="1">
        <v>45395</v>
      </c>
      <c r="J279">
        <f t="shared" si="5"/>
        <v>3</v>
      </c>
    </row>
    <row r="280" spans="1:10" x14ac:dyDescent="0.3">
      <c r="A280">
        <v>971.04</v>
      </c>
      <c r="B280">
        <v>7.03</v>
      </c>
      <c r="G280" t="s">
        <v>21</v>
      </c>
      <c r="H280" s="1">
        <v>45681</v>
      </c>
      <c r="I280" s="1">
        <v>45684</v>
      </c>
      <c r="J280">
        <f t="shared" si="5"/>
        <v>3</v>
      </c>
    </row>
    <row r="281" spans="1:10" x14ac:dyDescent="0.3">
      <c r="A281">
        <v>1007.3339999999999</v>
      </c>
      <c r="B281">
        <v>42.34</v>
      </c>
      <c r="G281" t="s">
        <v>23</v>
      </c>
      <c r="H281" s="1">
        <v>45774</v>
      </c>
      <c r="I281" s="1">
        <v>45780</v>
      </c>
      <c r="J281">
        <f t="shared" si="5"/>
        <v>6</v>
      </c>
    </row>
    <row r="282" spans="1:10" x14ac:dyDescent="0.3">
      <c r="A282">
        <v>837.57600000000002</v>
      </c>
      <c r="B282">
        <v>11.88</v>
      </c>
      <c r="G282" t="s">
        <v>19</v>
      </c>
      <c r="H282" s="1">
        <v>45708</v>
      </c>
      <c r="I282" s="1">
        <v>45711</v>
      </c>
      <c r="J282">
        <f t="shared" si="5"/>
        <v>3</v>
      </c>
    </row>
    <row r="283" spans="1:10" x14ac:dyDescent="0.3">
      <c r="A283">
        <v>1962.395</v>
      </c>
      <c r="B283">
        <v>28.33</v>
      </c>
      <c r="G283" t="s">
        <v>21</v>
      </c>
      <c r="H283" s="1">
        <v>45183</v>
      </c>
      <c r="I283" s="1">
        <v>45188</v>
      </c>
      <c r="J283">
        <f t="shared" si="5"/>
        <v>5</v>
      </c>
    </row>
    <row r="284" spans="1:10" x14ac:dyDescent="0.3">
      <c r="A284">
        <v>2105.7049999999999</v>
      </c>
      <c r="B284">
        <v>15.74</v>
      </c>
      <c r="G284" t="s">
        <v>23</v>
      </c>
      <c r="H284" s="1">
        <v>45399</v>
      </c>
      <c r="I284" s="1">
        <v>45409</v>
      </c>
      <c r="J284">
        <f t="shared" si="5"/>
        <v>10</v>
      </c>
    </row>
    <row r="285" spans="1:10" x14ac:dyDescent="0.3">
      <c r="A285">
        <v>6732.84</v>
      </c>
      <c r="B285">
        <v>35.020000000000003</v>
      </c>
      <c r="G285" t="s">
        <v>22</v>
      </c>
      <c r="H285" s="1">
        <v>45610</v>
      </c>
      <c r="I285" s="1">
        <v>45614</v>
      </c>
      <c r="J285">
        <f t="shared" si="5"/>
        <v>4</v>
      </c>
    </row>
    <row r="286" spans="1:10" x14ac:dyDescent="0.3">
      <c r="A286">
        <v>3337.335</v>
      </c>
      <c r="B286">
        <v>45.42</v>
      </c>
      <c r="G286" t="s">
        <v>21</v>
      </c>
      <c r="H286" s="1">
        <v>45498</v>
      </c>
      <c r="I286" s="1">
        <v>45500</v>
      </c>
      <c r="J286">
        <f t="shared" si="5"/>
        <v>2</v>
      </c>
    </row>
    <row r="287" spans="1:10" x14ac:dyDescent="0.3">
      <c r="A287">
        <v>4637.8620000000001</v>
      </c>
      <c r="B287">
        <v>35.33</v>
      </c>
      <c r="G287" t="s">
        <v>19</v>
      </c>
      <c r="H287" s="1">
        <v>45509</v>
      </c>
      <c r="I287" s="1">
        <v>45519</v>
      </c>
      <c r="J287">
        <f t="shared" si="5"/>
        <v>10</v>
      </c>
    </row>
    <row r="288" spans="1:10" x14ac:dyDescent="0.3">
      <c r="A288">
        <v>3195.24</v>
      </c>
      <c r="B288">
        <v>25.09</v>
      </c>
      <c r="G288" t="s">
        <v>23</v>
      </c>
      <c r="H288" s="1">
        <v>45680</v>
      </c>
      <c r="I288" s="1">
        <v>45690</v>
      </c>
      <c r="J288">
        <f t="shared" si="5"/>
        <v>10</v>
      </c>
    </row>
    <row r="289" spans="1:10" x14ac:dyDescent="0.3">
      <c r="A289">
        <v>4481.7440000000006</v>
      </c>
      <c r="B289">
        <v>39.39</v>
      </c>
      <c r="G289" t="s">
        <v>23</v>
      </c>
      <c r="H289" s="1">
        <v>45774</v>
      </c>
      <c r="I289" s="1">
        <v>45780</v>
      </c>
      <c r="J289">
        <f t="shared" si="5"/>
        <v>6</v>
      </c>
    </row>
    <row r="290" spans="1:10" x14ac:dyDescent="0.3">
      <c r="A290">
        <v>1020.6</v>
      </c>
      <c r="B290">
        <v>38.61</v>
      </c>
      <c r="G290" t="s">
        <v>20</v>
      </c>
      <c r="H290" s="1">
        <v>45555</v>
      </c>
      <c r="I290" s="1">
        <v>45558</v>
      </c>
      <c r="J290">
        <f t="shared" si="5"/>
        <v>3</v>
      </c>
    </row>
    <row r="291" spans="1:10" x14ac:dyDescent="0.3">
      <c r="A291">
        <v>3437.2044999999998</v>
      </c>
      <c r="B291">
        <v>42.88</v>
      </c>
      <c r="G291" t="s">
        <v>23</v>
      </c>
      <c r="H291" s="1">
        <v>45177</v>
      </c>
      <c r="I291" s="1">
        <v>45184</v>
      </c>
      <c r="J291">
        <f t="shared" si="5"/>
        <v>7</v>
      </c>
    </row>
    <row r="292" spans="1:10" x14ac:dyDescent="0.3">
      <c r="A292">
        <v>2894.6</v>
      </c>
      <c r="B292">
        <v>44.09</v>
      </c>
      <c r="G292" t="s">
        <v>20</v>
      </c>
      <c r="H292" s="1">
        <v>45767</v>
      </c>
      <c r="I292" s="1">
        <v>45775</v>
      </c>
      <c r="J292">
        <f t="shared" si="5"/>
        <v>8</v>
      </c>
    </row>
    <row r="293" spans="1:10" x14ac:dyDescent="0.3">
      <c r="A293">
        <v>1233.684</v>
      </c>
      <c r="B293">
        <v>17.57</v>
      </c>
      <c r="G293" t="s">
        <v>21</v>
      </c>
      <c r="H293" s="1">
        <v>45463</v>
      </c>
      <c r="I293" s="1">
        <v>45470</v>
      </c>
      <c r="J293">
        <f t="shared" si="5"/>
        <v>7</v>
      </c>
    </row>
    <row r="294" spans="1:10" x14ac:dyDescent="0.3">
      <c r="A294">
        <v>6258.36</v>
      </c>
      <c r="B294">
        <v>49.59</v>
      </c>
      <c r="G294" t="s">
        <v>19</v>
      </c>
      <c r="H294" s="1">
        <v>44937</v>
      </c>
      <c r="I294" s="1">
        <v>44946</v>
      </c>
      <c r="J294">
        <f t="shared" si="5"/>
        <v>9</v>
      </c>
    </row>
    <row r="295" spans="1:10" x14ac:dyDescent="0.3">
      <c r="A295">
        <v>7561.2684999999992</v>
      </c>
      <c r="B295">
        <v>13.84</v>
      </c>
      <c r="G295" t="s">
        <v>21</v>
      </c>
      <c r="H295" s="1">
        <v>45111</v>
      </c>
      <c r="I295" s="1">
        <v>45114</v>
      </c>
      <c r="J295">
        <f t="shared" si="5"/>
        <v>3</v>
      </c>
    </row>
    <row r="296" spans="1:10" x14ac:dyDescent="0.3">
      <c r="A296">
        <v>67.396500000000003</v>
      </c>
      <c r="B296">
        <v>42.7</v>
      </c>
      <c r="G296" t="s">
        <v>22</v>
      </c>
      <c r="H296" s="1">
        <v>45724</v>
      </c>
      <c r="I296" s="1">
        <v>45734</v>
      </c>
      <c r="J296">
        <f t="shared" si="5"/>
        <v>10</v>
      </c>
    </row>
    <row r="297" spans="1:10" x14ac:dyDescent="0.3">
      <c r="A297">
        <v>2657.61</v>
      </c>
      <c r="B297">
        <v>31.14</v>
      </c>
      <c r="G297" t="s">
        <v>20</v>
      </c>
      <c r="H297" s="1">
        <v>45698</v>
      </c>
      <c r="I297" s="1">
        <v>45700</v>
      </c>
      <c r="J297">
        <f t="shared" si="5"/>
        <v>2</v>
      </c>
    </row>
    <row r="298" spans="1:10" x14ac:dyDescent="0.3">
      <c r="A298">
        <v>2609.190000000001</v>
      </c>
      <c r="B298">
        <v>32.96</v>
      </c>
      <c r="G298" t="s">
        <v>23</v>
      </c>
      <c r="H298" s="1">
        <v>45733</v>
      </c>
      <c r="I298" s="1">
        <v>45737</v>
      </c>
      <c r="J298">
        <f t="shared" si="5"/>
        <v>4</v>
      </c>
    </row>
    <row r="299" spans="1:10" x14ac:dyDescent="0.3">
      <c r="A299">
        <v>405.46949999999998</v>
      </c>
      <c r="B299">
        <v>32.799999999999997</v>
      </c>
      <c r="G299" t="s">
        <v>19</v>
      </c>
      <c r="H299" s="1">
        <v>45239</v>
      </c>
      <c r="I299" s="1">
        <v>45245</v>
      </c>
      <c r="J299">
        <f t="shared" si="5"/>
        <v>6</v>
      </c>
    </row>
    <row r="300" spans="1:10" x14ac:dyDescent="0.3">
      <c r="A300">
        <v>5045.7824999999993</v>
      </c>
      <c r="B300">
        <v>25.3</v>
      </c>
      <c r="G300" t="s">
        <v>22</v>
      </c>
      <c r="H300" s="1">
        <v>45260</v>
      </c>
      <c r="I300" s="1">
        <v>45268</v>
      </c>
      <c r="J300">
        <f t="shared" si="5"/>
        <v>8</v>
      </c>
    </row>
    <row r="301" spans="1:10" x14ac:dyDescent="0.3">
      <c r="A301">
        <v>7171.4</v>
      </c>
      <c r="B301">
        <v>21.11</v>
      </c>
      <c r="G301" t="s">
        <v>20</v>
      </c>
      <c r="H301" s="1">
        <v>45519</v>
      </c>
      <c r="I301" s="1">
        <v>45524</v>
      </c>
      <c r="J301">
        <f t="shared" si="5"/>
        <v>5</v>
      </c>
    </row>
    <row r="302" spans="1:10" x14ac:dyDescent="0.3">
      <c r="A302">
        <v>504.33600000000001</v>
      </c>
      <c r="B302">
        <v>22.94</v>
      </c>
      <c r="G302" t="s">
        <v>23</v>
      </c>
      <c r="H302" s="1">
        <v>45006</v>
      </c>
      <c r="I302" s="1">
        <v>45011</v>
      </c>
      <c r="J302">
        <f t="shared" si="5"/>
        <v>5</v>
      </c>
    </row>
    <row r="303" spans="1:10" x14ac:dyDescent="0.3">
      <c r="A303">
        <v>248.8</v>
      </c>
      <c r="B303">
        <v>37.049999999999997</v>
      </c>
      <c r="G303" t="s">
        <v>23</v>
      </c>
      <c r="H303" s="1">
        <v>45225</v>
      </c>
      <c r="I303" s="1">
        <v>45230</v>
      </c>
      <c r="J303">
        <f t="shared" si="5"/>
        <v>5</v>
      </c>
    </row>
    <row r="304" spans="1:10" x14ac:dyDescent="0.3">
      <c r="A304">
        <v>191.80799999999999</v>
      </c>
      <c r="B304">
        <v>12.18</v>
      </c>
      <c r="G304" t="s">
        <v>23</v>
      </c>
      <c r="H304" s="1">
        <v>45233</v>
      </c>
      <c r="I304" s="1">
        <v>45241</v>
      </c>
      <c r="J304">
        <f t="shared" si="5"/>
        <v>8</v>
      </c>
    </row>
    <row r="305" spans="1:10" x14ac:dyDescent="0.3">
      <c r="A305">
        <v>4699.2079999999996</v>
      </c>
      <c r="B305">
        <v>13.43</v>
      </c>
      <c r="G305" t="s">
        <v>21</v>
      </c>
      <c r="H305" s="1">
        <v>45687</v>
      </c>
      <c r="I305" s="1">
        <v>45693</v>
      </c>
      <c r="J305">
        <f t="shared" si="5"/>
        <v>6</v>
      </c>
    </row>
    <row r="306" spans="1:10" x14ac:dyDescent="0.3">
      <c r="A306">
        <v>5600.4779999999992</v>
      </c>
      <c r="B306">
        <v>46.28</v>
      </c>
      <c r="G306" t="s">
        <v>23</v>
      </c>
      <c r="H306" s="1">
        <v>45316</v>
      </c>
      <c r="I306" s="1">
        <v>45325</v>
      </c>
      <c r="J306">
        <f t="shared" si="5"/>
        <v>9</v>
      </c>
    </row>
    <row r="307" spans="1:10" x14ac:dyDescent="0.3">
      <c r="A307">
        <v>2360.79</v>
      </c>
      <c r="B307">
        <v>35.020000000000003</v>
      </c>
      <c r="G307" t="s">
        <v>20</v>
      </c>
      <c r="H307" s="1">
        <v>45745</v>
      </c>
      <c r="I307" s="1">
        <v>45749</v>
      </c>
      <c r="J307">
        <f t="shared" si="5"/>
        <v>4</v>
      </c>
    </row>
    <row r="308" spans="1:10" x14ac:dyDescent="0.3">
      <c r="A308">
        <v>1436.16</v>
      </c>
      <c r="B308">
        <v>44.69</v>
      </c>
      <c r="G308" t="s">
        <v>22</v>
      </c>
      <c r="H308" s="1">
        <v>45598</v>
      </c>
      <c r="I308" s="1">
        <v>45605</v>
      </c>
      <c r="J308">
        <f t="shared" si="5"/>
        <v>7</v>
      </c>
    </row>
    <row r="309" spans="1:10" x14ac:dyDescent="0.3">
      <c r="A309">
        <v>5889.07</v>
      </c>
      <c r="B309">
        <v>35.96</v>
      </c>
      <c r="G309" t="s">
        <v>22</v>
      </c>
      <c r="H309" s="1">
        <v>45473</v>
      </c>
      <c r="I309" s="1">
        <v>45482</v>
      </c>
      <c r="J309">
        <f t="shared" si="5"/>
        <v>9</v>
      </c>
    </row>
    <row r="310" spans="1:10" x14ac:dyDescent="0.3">
      <c r="A310">
        <v>126.19799999999999</v>
      </c>
      <c r="B310">
        <v>27.81</v>
      </c>
      <c r="G310" t="s">
        <v>20</v>
      </c>
      <c r="H310" s="1">
        <v>44937</v>
      </c>
      <c r="I310" s="1">
        <v>44945</v>
      </c>
      <c r="J310">
        <f t="shared" si="5"/>
        <v>8</v>
      </c>
    </row>
    <row r="311" spans="1:10" x14ac:dyDescent="0.3">
      <c r="A311">
        <v>6065.02</v>
      </c>
      <c r="B311">
        <v>18.63</v>
      </c>
      <c r="G311" t="s">
        <v>21</v>
      </c>
      <c r="H311" s="1">
        <v>45813</v>
      </c>
      <c r="I311" s="1">
        <v>45822</v>
      </c>
      <c r="J311">
        <f t="shared" si="5"/>
        <v>9</v>
      </c>
    </row>
    <row r="312" spans="1:10" x14ac:dyDescent="0.3">
      <c r="A312">
        <v>8539.2000000000007</v>
      </c>
      <c r="B312">
        <v>18.77</v>
      </c>
      <c r="G312" t="s">
        <v>21</v>
      </c>
      <c r="H312" s="1">
        <v>45372</v>
      </c>
      <c r="I312" s="1">
        <v>45375</v>
      </c>
      <c r="J312">
        <f t="shared" si="5"/>
        <v>3</v>
      </c>
    </row>
    <row r="313" spans="1:10" x14ac:dyDescent="0.3">
      <c r="A313">
        <v>3233.9520000000002</v>
      </c>
      <c r="B313">
        <v>45.98</v>
      </c>
      <c r="G313" t="s">
        <v>20</v>
      </c>
      <c r="H313" s="1">
        <v>45169</v>
      </c>
      <c r="I313" s="1">
        <v>45177</v>
      </c>
      <c r="J313">
        <f t="shared" si="5"/>
        <v>8</v>
      </c>
    </row>
    <row r="314" spans="1:10" x14ac:dyDescent="0.3">
      <c r="A314">
        <v>8447.0959999999995</v>
      </c>
      <c r="B314">
        <v>37.380000000000003</v>
      </c>
      <c r="G314" t="s">
        <v>20</v>
      </c>
      <c r="H314" s="1">
        <v>45572</v>
      </c>
      <c r="I314" s="1">
        <v>45582</v>
      </c>
      <c r="J314">
        <f t="shared" si="5"/>
        <v>10</v>
      </c>
    </row>
    <row r="315" spans="1:10" x14ac:dyDescent="0.3">
      <c r="A315">
        <v>6398.7999999999993</v>
      </c>
      <c r="B315">
        <v>33.380000000000003</v>
      </c>
      <c r="G315" t="s">
        <v>21</v>
      </c>
      <c r="H315" s="1">
        <v>45028</v>
      </c>
      <c r="I315" s="1">
        <v>45031</v>
      </c>
      <c r="J315">
        <f t="shared" si="5"/>
        <v>3</v>
      </c>
    </row>
    <row r="316" spans="1:10" x14ac:dyDescent="0.3">
      <c r="A316">
        <v>404.5575</v>
      </c>
      <c r="B316">
        <v>48.55</v>
      </c>
      <c r="G316" t="s">
        <v>20</v>
      </c>
      <c r="H316" s="1">
        <v>45236</v>
      </c>
      <c r="I316" s="1">
        <v>45246</v>
      </c>
      <c r="J316">
        <f t="shared" si="5"/>
        <v>10</v>
      </c>
    </row>
    <row r="317" spans="1:10" x14ac:dyDescent="0.3">
      <c r="A317">
        <v>358.20699999999999</v>
      </c>
      <c r="B317">
        <v>7.78</v>
      </c>
      <c r="G317" t="s">
        <v>23</v>
      </c>
      <c r="H317" s="1">
        <v>45044</v>
      </c>
      <c r="I317" s="1">
        <v>45054</v>
      </c>
      <c r="J317">
        <f t="shared" si="5"/>
        <v>10</v>
      </c>
    </row>
    <row r="318" spans="1:10" x14ac:dyDescent="0.3">
      <c r="A318">
        <v>2478.357</v>
      </c>
      <c r="B318">
        <v>34.35</v>
      </c>
      <c r="G318" t="s">
        <v>23</v>
      </c>
      <c r="H318" s="1">
        <v>45278</v>
      </c>
      <c r="I318" s="1">
        <v>45281</v>
      </c>
      <c r="J318">
        <f t="shared" si="5"/>
        <v>3</v>
      </c>
    </row>
    <row r="319" spans="1:10" x14ac:dyDescent="0.3">
      <c r="A319">
        <v>1482.39</v>
      </c>
      <c r="B319">
        <v>43.81</v>
      </c>
      <c r="G319" t="s">
        <v>20</v>
      </c>
      <c r="H319" s="1">
        <v>45575</v>
      </c>
      <c r="I319" s="1">
        <v>45581</v>
      </c>
      <c r="J319">
        <f t="shared" si="5"/>
        <v>6</v>
      </c>
    </row>
    <row r="320" spans="1:10" x14ac:dyDescent="0.3">
      <c r="A320">
        <v>6056.64</v>
      </c>
      <c r="B320">
        <v>18.59</v>
      </c>
      <c r="G320" t="s">
        <v>21</v>
      </c>
      <c r="H320" s="1">
        <v>44962</v>
      </c>
      <c r="I320" s="1">
        <v>44964</v>
      </c>
      <c r="J320">
        <f t="shared" si="5"/>
        <v>2</v>
      </c>
    </row>
    <row r="321" spans="1:10" x14ac:dyDescent="0.3">
      <c r="A321">
        <v>186.96600000000001</v>
      </c>
      <c r="B321">
        <v>22.06</v>
      </c>
      <c r="G321" t="s">
        <v>22</v>
      </c>
      <c r="H321" s="1">
        <v>45508</v>
      </c>
      <c r="I321" s="1">
        <v>45518</v>
      </c>
      <c r="J321">
        <f t="shared" si="5"/>
        <v>10</v>
      </c>
    </row>
    <row r="322" spans="1:10" x14ac:dyDescent="0.3">
      <c r="A322">
        <v>4015.079999999999</v>
      </c>
      <c r="B322">
        <v>18.39</v>
      </c>
      <c r="G322" t="s">
        <v>22</v>
      </c>
      <c r="H322" s="1">
        <v>45588</v>
      </c>
      <c r="I322" s="1">
        <v>45597</v>
      </c>
      <c r="J322">
        <f t="shared" si="5"/>
        <v>9</v>
      </c>
    </row>
    <row r="323" spans="1:10" x14ac:dyDescent="0.3">
      <c r="A323">
        <v>2354.0335</v>
      </c>
      <c r="B323">
        <v>5.93</v>
      </c>
      <c r="G323" t="s">
        <v>23</v>
      </c>
      <c r="H323" s="1">
        <v>45335</v>
      </c>
      <c r="I323" s="1">
        <v>45342</v>
      </c>
      <c r="J323">
        <f t="shared" ref="J323:J386" si="6">I323-H323</f>
        <v>7</v>
      </c>
    </row>
    <row r="324" spans="1:10" x14ac:dyDescent="0.3">
      <c r="A324">
        <v>153.30000000000001</v>
      </c>
      <c r="B324">
        <v>36.270000000000003</v>
      </c>
      <c r="G324" t="s">
        <v>20</v>
      </c>
      <c r="H324" s="1">
        <v>45446</v>
      </c>
      <c r="I324" s="1">
        <v>45450</v>
      </c>
      <c r="J324">
        <f t="shared" si="6"/>
        <v>4</v>
      </c>
    </row>
    <row r="325" spans="1:10" x14ac:dyDescent="0.3">
      <c r="A325">
        <v>6707.1120000000001</v>
      </c>
      <c r="B325">
        <v>46.83</v>
      </c>
      <c r="G325" t="s">
        <v>20</v>
      </c>
      <c r="H325" s="1">
        <v>45030</v>
      </c>
      <c r="I325" s="1">
        <v>45034</v>
      </c>
      <c r="J325">
        <f t="shared" si="6"/>
        <v>4</v>
      </c>
    </row>
    <row r="326" spans="1:10" x14ac:dyDescent="0.3">
      <c r="A326">
        <v>6631.9119999999994</v>
      </c>
      <c r="B326">
        <v>47.61</v>
      </c>
      <c r="G326" t="s">
        <v>22</v>
      </c>
      <c r="H326" s="1">
        <v>45584</v>
      </c>
      <c r="I326" s="1">
        <v>45588</v>
      </c>
      <c r="J326">
        <f t="shared" si="6"/>
        <v>4</v>
      </c>
    </row>
    <row r="327" spans="1:10" x14ac:dyDescent="0.3">
      <c r="A327">
        <v>1880.4014999999999</v>
      </c>
      <c r="B327">
        <v>44.78</v>
      </c>
      <c r="G327" t="s">
        <v>20</v>
      </c>
      <c r="H327" s="1">
        <v>45278</v>
      </c>
      <c r="I327" s="1">
        <v>45282</v>
      </c>
      <c r="J327">
        <f t="shared" si="6"/>
        <v>4</v>
      </c>
    </row>
    <row r="328" spans="1:10" x14ac:dyDescent="0.3">
      <c r="A328">
        <v>1322.6849999999999</v>
      </c>
      <c r="B328">
        <v>36.979999999999997</v>
      </c>
      <c r="G328" t="s">
        <v>21</v>
      </c>
      <c r="H328" s="1">
        <v>45169</v>
      </c>
      <c r="I328" s="1">
        <v>45175</v>
      </c>
      <c r="J328">
        <f t="shared" si="6"/>
        <v>6</v>
      </c>
    </row>
    <row r="329" spans="1:10" x14ac:dyDescent="0.3">
      <c r="A329">
        <v>1861.704</v>
      </c>
      <c r="B329">
        <v>25.88</v>
      </c>
      <c r="G329" t="s">
        <v>20</v>
      </c>
      <c r="H329" s="1">
        <v>45188</v>
      </c>
      <c r="I329" s="1">
        <v>45195</v>
      </c>
      <c r="J329">
        <f t="shared" si="6"/>
        <v>7</v>
      </c>
    </row>
    <row r="330" spans="1:10" x14ac:dyDescent="0.3">
      <c r="A330">
        <v>403.07850000000002</v>
      </c>
      <c r="B330">
        <v>14.59</v>
      </c>
      <c r="G330" t="s">
        <v>22</v>
      </c>
      <c r="H330" s="1">
        <v>44984</v>
      </c>
      <c r="I330" s="1">
        <v>44989</v>
      </c>
      <c r="J330">
        <f t="shared" si="6"/>
        <v>5</v>
      </c>
    </row>
    <row r="331" spans="1:10" x14ac:dyDescent="0.3">
      <c r="A331">
        <v>3521.3939999999998</v>
      </c>
      <c r="B331">
        <v>20.11</v>
      </c>
      <c r="G331" t="s">
        <v>20</v>
      </c>
      <c r="H331" s="1">
        <v>45319</v>
      </c>
      <c r="I331" s="1">
        <v>45322</v>
      </c>
      <c r="J331">
        <f t="shared" si="6"/>
        <v>3</v>
      </c>
    </row>
    <row r="332" spans="1:10" x14ac:dyDescent="0.3">
      <c r="A332">
        <v>1117.53</v>
      </c>
      <c r="B332">
        <v>13.31</v>
      </c>
      <c r="G332" t="s">
        <v>20</v>
      </c>
      <c r="H332" s="1">
        <v>45783</v>
      </c>
      <c r="I332" s="1">
        <v>45787</v>
      </c>
      <c r="J332">
        <f t="shared" si="6"/>
        <v>4</v>
      </c>
    </row>
    <row r="333" spans="1:10" x14ac:dyDescent="0.3">
      <c r="A333">
        <v>713.41200000000003</v>
      </c>
      <c r="B333">
        <v>26.39</v>
      </c>
      <c r="G333" t="s">
        <v>19</v>
      </c>
      <c r="H333" s="1">
        <v>45548</v>
      </c>
      <c r="I333" s="1">
        <v>45550</v>
      </c>
      <c r="J333">
        <f t="shared" si="6"/>
        <v>2</v>
      </c>
    </row>
    <row r="334" spans="1:10" x14ac:dyDescent="0.3">
      <c r="A334">
        <v>2469.402</v>
      </c>
      <c r="B334">
        <v>19.579999999999998</v>
      </c>
      <c r="G334" t="s">
        <v>19</v>
      </c>
      <c r="H334" s="1">
        <v>45071</v>
      </c>
      <c r="I334" s="1">
        <v>45075</v>
      </c>
      <c r="J334">
        <f t="shared" si="6"/>
        <v>4</v>
      </c>
    </row>
    <row r="335" spans="1:10" x14ac:dyDescent="0.3">
      <c r="A335">
        <v>622.09</v>
      </c>
      <c r="B335">
        <v>8.36</v>
      </c>
      <c r="G335" t="s">
        <v>20</v>
      </c>
      <c r="H335" s="1">
        <v>45561</v>
      </c>
      <c r="I335" s="1">
        <v>45566</v>
      </c>
      <c r="J335">
        <f t="shared" si="6"/>
        <v>5</v>
      </c>
    </row>
    <row r="336" spans="1:10" x14ac:dyDescent="0.3">
      <c r="A336">
        <v>1207.6400000000001</v>
      </c>
      <c r="B336">
        <v>9.9700000000000006</v>
      </c>
      <c r="G336" t="s">
        <v>20</v>
      </c>
      <c r="H336" s="1">
        <v>44970</v>
      </c>
      <c r="I336" s="1">
        <v>44975</v>
      </c>
      <c r="J336">
        <f t="shared" si="6"/>
        <v>5</v>
      </c>
    </row>
    <row r="337" spans="1:10" x14ac:dyDescent="0.3">
      <c r="A337">
        <v>1945.575</v>
      </c>
      <c r="B337">
        <v>41.48</v>
      </c>
      <c r="G337" t="s">
        <v>22</v>
      </c>
      <c r="H337" s="1">
        <v>45463</v>
      </c>
      <c r="I337" s="1">
        <v>45470</v>
      </c>
      <c r="J337">
        <f t="shared" si="6"/>
        <v>7</v>
      </c>
    </row>
    <row r="338" spans="1:10" x14ac:dyDescent="0.3">
      <c r="A338">
        <v>10649.5</v>
      </c>
      <c r="B338">
        <v>5.91</v>
      </c>
      <c r="G338" t="s">
        <v>23</v>
      </c>
      <c r="H338" s="1">
        <v>45373</v>
      </c>
      <c r="I338" s="1">
        <v>45376</v>
      </c>
      <c r="J338">
        <f t="shared" si="6"/>
        <v>3</v>
      </c>
    </row>
    <row r="339" spans="1:10" x14ac:dyDescent="0.3">
      <c r="A339">
        <v>1497.375</v>
      </c>
      <c r="B339">
        <v>22.65</v>
      </c>
      <c r="G339" t="s">
        <v>23</v>
      </c>
      <c r="H339" s="1">
        <v>45330</v>
      </c>
      <c r="I339" s="1">
        <v>45333</v>
      </c>
      <c r="J339">
        <f t="shared" si="6"/>
        <v>3</v>
      </c>
    </row>
    <row r="340" spans="1:10" x14ac:dyDescent="0.3">
      <c r="A340">
        <v>552.93299999999999</v>
      </c>
      <c r="B340">
        <v>7.72</v>
      </c>
      <c r="G340" t="s">
        <v>19</v>
      </c>
      <c r="H340" s="1">
        <v>45444</v>
      </c>
      <c r="I340" s="1">
        <v>45447</v>
      </c>
      <c r="J340">
        <f t="shared" si="6"/>
        <v>3</v>
      </c>
    </row>
    <row r="341" spans="1:10" x14ac:dyDescent="0.3">
      <c r="A341">
        <v>9384.32</v>
      </c>
      <c r="B341">
        <v>17.059999999999999</v>
      </c>
      <c r="G341" t="s">
        <v>21</v>
      </c>
      <c r="H341" s="1">
        <v>45438</v>
      </c>
      <c r="I341" s="1">
        <v>45444</v>
      </c>
      <c r="J341">
        <f t="shared" si="6"/>
        <v>6</v>
      </c>
    </row>
    <row r="342" spans="1:10" x14ac:dyDescent="0.3">
      <c r="A342">
        <v>1677.28</v>
      </c>
      <c r="B342">
        <v>33.99</v>
      </c>
      <c r="G342" t="s">
        <v>19</v>
      </c>
      <c r="H342" s="1">
        <v>45468</v>
      </c>
      <c r="I342" s="1">
        <v>45473</v>
      </c>
      <c r="J342">
        <f t="shared" si="6"/>
        <v>5</v>
      </c>
    </row>
    <row r="343" spans="1:10" x14ac:dyDescent="0.3">
      <c r="A343">
        <v>8618.112000000001</v>
      </c>
      <c r="B343">
        <v>47.86</v>
      </c>
      <c r="G343" t="s">
        <v>22</v>
      </c>
      <c r="H343" s="1">
        <v>45320</v>
      </c>
      <c r="I343" s="1">
        <v>45329</v>
      </c>
      <c r="J343">
        <f t="shared" si="6"/>
        <v>9</v>
      </c>
    </row>
    <row r="344" spans="1:10" x14ac:dyDescent="0.3">
      <c r="A344">
        <v>2795.9639999999999</v>
      </c>
      <c r="B344">
        <v>18.100000000000001</v>
      </c>
      <c r="G344" t="s">
        <v>20</v>
      </c>
      <c r="H344" s="1">
        <v>45633</v>
      </c>
      <c r="I344" s="1">
        <v>45635</v>
      </c>
      <c r="J344">
        <f t="shared" si="6"/>
        <v>2</v>
      </c>
    </row>
    <row r="345" spans="1:10" x14ac:dyDescent="0.3">
      <c r="A345">
        <v>2833.4749999999999</v>
      </c>
      <c r="B345">
        <v>39.35</v>
      </c>
      <c r="G345" t="s">
        <v>23</v>
      </c>
      <c r="H345" s="1">
        <v>45251</v>
      </c>
      <c r="I345" s="1">
        <v>45256</v>
      </c>
      <c r="J345">
        <f t="shared" si="6"/>
        <v>5</v>
      </c>
    </row>
    <row r="346" spans="1:10" x14ac:dyDescent="0.3">
      <c r="A346">
        <v>2727.9360000000001</v>
      </c>
      <c r="B346">
        <v>5.22</v>
      </c>
      <c r="G346" t="s">
        <v>21</v>
      </c>
      <c r="H346" s="1">
        <v>45642</v>
      </c>
      <c r="I346" s="1">
        <v>45650</v>
      </c>
      <c r="J346">
        <f t="shared" si="6"/>
        <v>8</v>
      </c>
    </row>
    <row r="347" spans="1:10" x14ac:dyDescent="0.3">
      <c r="A347">
        <v>1928.88</v>
      </c>
      <c r="B347">
        <v>28.65</v>
      </c>
      <c r="G347" t="s">
        <v>22</v>
      </c>
      <c r="H347" s="1">
        <v>45143</v>
      </c>
      <c r="I347" s="1">
        <v>45153</v>
      </c>
      <c r="J347">
        <f t="shared" si="6"/>
        <v>10</v>
      </c>
    </row>
    <row r="348" spans="1:10" x14ac:dyDescent="0.3">
      <c r="A348">
        <v>649.08900000000006</v>
      </c>
      <c r="B348">
        <v>5.29</v>
      </c>
      <c r="G348" t="s">
        <v>22</v>
      </c>
      <c r="H348" s="1">
        <v>45168</v>
      </c>
      <c r="I348" s="1">
        <v>45175</v>
      </c>
      <c r="J348">
        <f t="shared" si="6"/>
        <v>7</v>
      </c>
    </row>
    <row r="349" spans="1:10" x14ac:dyDescent="0.3">
      <c r="A349">
        <v>965.78700000000003</v>
      </c>
      <c r="B349">
        <v>8.2200000000000006</v>
      </c>
      <c r="G349" t="s">
        <v>19</v>
      </c>
      <c r="H349" s="1">
        <v>45741</v>
      </c>
      <c r="I349" s="1">
        <v>45743</v>
      </c>
      <c r="J349">
        <f t="shared" si="6"/>
        <v>2</v>
      </c>
    </row>
    <row r="350" spans="1:10" x14ac:dyDescent="0.3">
      <c r="A350">
        <v>408.15</v>
      </c>
      <c r="B350">
        <v>43.69</v>
      </c>
      <c r="G350" t="s">
        <v>21</v>
      </c>
      <c r="H350" s="1">
        <v>45639</v>
      </c>
      <c r="I350" s="1">
        <v>45648</v>
      </c>
      <c r="J350">
        <f t="shared" si="6"/>
        <v>9</v>
      </c>
    </row>
    <row r="351" spans="1:10" x14ac:dyDescent="0.3">
      <c r="A351">
        <v>729.26</v>
      </c>
      <c r="B351">
        <v>48.02</v>
      </c>
      <c r="G351" t="s">
        <v>22</v>
      </c>
      <c r="H351" s="1">
        <v>45176</v>
      </c>
      <c r="I351" s="1">
        <v>45183</v>
      </c>
      <c r="J351">
        <f t="shared" si="6"/>
        <v>7</v>
      </c>
    </row>
    <row r="352" spans="1:10" x14ac:dyDescent="0.3">
      <c r="A352">
        <v>3990.07</v>
      </c>
      <c r="B352">
        <v>42.33</v>
      </c>
      <c r="G352" t="s">
        <v>21</v>
      </c>
      <c r="H352" s="1">
        <v>45272</v>
      </c>
      <c r="I352" s="1">
        <v>45281</v>
      </c>
      <c r="J352">
        <f t="shared" si="6"/>
        <v>9</v>
      </c>
    </row>
    <row r="353" spans="1:10" x14ac:dyDescent="0.3">
      <c r="A353">
        <v>9998.3700000000008</v>
      </c>
      <c r="B353">
        <v>32.770000000000003</v>
      </c>
      <c r="G353" t="s">
        <v>19</v>
      </c>
      <c r="H353" s="1">
        <v>45407</v>
      </c>
      <c r="I353" s="1">
        <v>45417</v>
      </c>
      <c r="J353">
        <f t="shared" si="6"/>
        <v>10</v>
      </c>
    </row>
    <row r="354" spans="1:10" x14ac:dyDescent="0.3">
      <c r="A354">
        <v>2002.6679999999999</v>
      </c>
      <c r="B354">
        <v>10.46</v>
      </c>
      <c r="G354" t="s">
        <v>21</v>
      </c>
      <c r="H354" s="1">
        <v>45781</v>
      </c>
      <c r="I354" s="1">
        <v>45784</v>
      </c>
      <c r="J354">
        <f t="shared" si="6"/>
        <v>3</v>
      </c>
    </row>
    <row r="355" spans="1:10" x14ac:dyDescent="0.3">
      <c r="A355">
        <v>7665.4169999999986</v>
      </c>
      <c r="B355">
        <v>47.56</v>
      </c>
      <c r="G355" t="s">
        <v>20</v>
      </c>
      <c r="H355" s="1">
        <v>45185</v>
      </c>
      <c r="I355" s="1">
        <v>45189</v>
      </c>
      <c r="J355">
        <f t="shared" si="6"/>
        <v>4</v>
      </c>
    </row>
    <row r="356" spans="1:10" x14ac:dyDescent="0.3">
      <c r="A356">
        <v>8933.3639999999996</v>
      </c>
      <c r="B356">
        <v>37.53</v>
      </c>
      <c r="G356" t="s">
        <v>23</v>
      </c>
      <c r="H356" s="1">
        <v>45588</v>
      </c>
      <c r="I356" s="1">
        <v>45591</v>
      </c>
      <c r="J356">
        <f t="shared" si="6"/>
        <v>3</v>
      </c>
    </row>
    <row r="357" spans="1:10" x14ac:dyDescent="0.3">
      <c r="A357">
        <v>175.5</v>
      </c>
      <c r="B357">
        <v>46.37</v>
      </c>
      <c r="G357" t="s">
        <v>21</v>
      </c>
      <c r="H357" s="1">
        <v>45049</v>
      </c>
      <c r="I357" s="1">
        <v>45052</v>
      </c>
      <c r="J357">
        <f t="shared" si="6"/>
        <v>3</v>
      </c>
    </row>
    <row r="358" spans="1:10" x14ac:dyDescent="0.3">
      <c r="A358">
        <v>5722.7439999999997</v>
      </c>
      <c r="B358">
        <v>22.13</v>
      </c>
      <c r="G358" t="s">
        <v>21</v>
      </c>
      <c r="H358" s="1">
        <v>45734</v>
      </c>
      <c r="I358" s="1">
        <v>45741</v>
      </c>
      <c r="J358">
        <f t="shared" si="6"/>
        <v>7</v>
      </c>
    </row>
    <row r="359" spans="1:10" x14ac:dyDescent="0.3">
      <c r="A359">
        <v>6671.3399999999992</v>
      </c>
      <c r="B359">
        <v>10.57</v>
      </c>
      <c r="G359" t="s">
        <v>23</v>
      </c>
      <c r="H359" s="1">
        <v>45163</v>
      </c>
      <c r="I359" s="1">
        <v>45165</v>
      </c>
      <c r="J359">
        <f t="shared" si="6"/>
        <v>2</v>
      </c>
    </row>
    <row r="360" spans="1:10" x14ac:dyDescent="0.3">
      <c r="A360">
        <v>8133.4440000000004</v>
      </c>
      <c r="B360">
        <v>11.17</v>
      </c>
      <c r="G360" t="s">
        <v>21</v>
      </c>
      <c r="H360" s="1">
        <v>45120</v>
      </c>
      <c r="I360" s="1">
        <v>45124</v>
      </c>
      <c r="J360">
        <f t="shared" si="6"/>
        <v>4</v>
      </c>
    </row>
    <row r="361" spans="1:10" x14ac:dyDescent="0.3">
      <c r="A361">
        <v>2788.578</v>
      </c>
      <c r="B361">
        <v>7.9</v>
      </c>
      <c r="G361" t="s">
        <v>21</v>
      </c>
      <c r="H361" s="1">
        <v>45713</v>
      </c>
      <c r="I361" s="1">
        <v>45722</v>
      </c>
      <c r="J361">
        <f t="shared" si="6"/>
        <v>9</v>
      </c>
    </row>
    <row r="362" spans="1:10" x14ac:dyDescent="0.3">
      <c r="A362">
        <v>3591.3780000000002</v>
      </c>
      <c r="B362">
        <v>41.5</v>
      </c>
      <c r="G362" t="s">
        <v>22</v>
      </c>
      <c r="H362" s="1">
        <v>45761</v>
      </c>
      <c r="I362" s="1">
        <v>45764</v>
      </c>
      <c r="J362">
        <f t="shared" si="6"/>
        <v>3</v>
      </c>
    </row>
    <row r="363" spans="1:10" x14ac:dyDescent="0.3">
      <c r="A363">
        <v>26.22</v>
      </c>
      <c r="B363">
        <v>10.58</v>
      </c>
      <c r="G363" t="s">
        <v>22</v>
      </c>
      <c r="H363" s="1">
        <v>45823</v>
      </c>
      <c r="I363" s="1">
        <v>45826</v>
      </c>
      <c r="J363">
        <f t="shared" si="6"/>
        <v>3</v>
      </c>
    </row>
    <row r="364" spans="1:10" x14ac:dyDescent="0.3">
      <c r="A364">
        <v>6419.25</v>
      </c>
      <c r="B364">
        <v>20.39</v>
      </c>
      <c r="G364" t="s">
        <v>21</v>
      </c>
      <c r="H364" s="1">
        <v>45587</v>
      </c>
      <c r="I364" s="1">
        <v>45592</v>
      </c>
      <c r="J364">
        <f t="shared" si="6"/>
        <v>5</v>
      </c>
    </row>
    <row r="365" spans="1:10" x14ac:dyDescent="0.3">
      <c r="A365">
        <v>2417.94</v>
      </c>
      <c r="B365">
        <v>49.79</v>
      </c>
      <c r="G365" t="s">
        <v>20</v>
      </c>
      <c r="H365" s="1">
        <v>45097</v>
      </c>
      <c r="I365" s="1">
        <v>45102</v>
      </c>
      <c r="J365">
        <f t="shared" si="6"/>
        <v>5</v>
      </c>
    </row>
    <row r="366" spans="1:10" x14ac:dyDescent="0.3">
      <c r="A366">
        <v>2994.951</v>
      </c>
      <c r="B366">
        <v>39.28</v>
      </c>
      <c r="G366" t="s">
        <v>20</v>
      </c>
      <c r="H366" s="1">
        <v>45721</v>
      </c>
      <c r="I366" s="1">
        <v>45727</v>
      </c>
      <c r="J366">
        <f t="shared" si="6"/>
        <v>6</v>
      </c>
    </row>
    <row r="367" spans="1:10" x14ac:dyDescent="0.3">
      <c r="A367">
        <v>1723.5450000000001</v>
      </c>
      <c r="B367">
        <v>48.77</v>
      </c>
      <c r="G367" t="s">
        <v>23</v>
      </c>
      <c r="H367" s="1">
        <v>45227</v>
      </c>
      <c r="I367" s="1">
        <v>45229</v>
      </c>
      <c r="J367">
        <f t="shared" si="6"/>
        <v>2</v>
      </c>
    </row>
    <row r="368" spans="1:10" x14ac:dyDescent="0.3">
      <c r="A368">
        <v>8265.57</v>
      </c>
      <c r="B368">
        <v>13.33</v>
      </c>
      <c r="G368" t="s">
        <v>22</v>
      </c>
      <c r="H368" s="1">
        <v>45735</v>
      </c>
      <c r="I368" s="1">
        <v>45742</v>
      </c>
      <c r="J368">
        <f t="shared" si="6"/>
        <v>7</v>
      </c>
    </row>
    <row r="369" spans="1:10" x14ac:dyDescent="0.3">
      <c r="A369">
        <v>2112.268</v>
      </c>
      <c r="B369">
        <v>28.92</v>
      </c>
      <c r="G369" t="s">
        <v>23</v>
      </c>
      <c r="H369" s="1">
        <v>45144</v>
      </c>
      <c r="I369" s="1">
        <v>45146</v>
      </c>
      <c r="J369">
        <f t="shared" si="6"/>
        <v>2</v>
      </c>
    </row>
    <row r="370" spans="1:10" x14ac:dyDescent="0.3">
      <c r="A370">
        <v>2888.76</v>
      </c>
      <c r="B370">
        <v>41.61</v>
      </c>
      <c r="G370" t="s">
        <v>22</v>
      </c>
      <c r="H370" s="1">
        <v>45546</v>
      </c>
      <c r="I370" s="1">
        <v>45554</v>
      </c>
      <c r="J370">
        <f t="shared" si="6"/>
        <v>8</v>
      </c>
    </row>
    <row r="371" spans="1:10" x14ac:dyDescent="0.3">
      <c r="A371">
        <v>1414.8</v>
      </c>
      <c r="B371">
        <v>41.98</v>
      </c>
      <c r="G371" t="s">
        <v>22</v>
      </c>
      <c r="H371" s="1">
        <v>45665</v>
      </c>
      <c r="I371" s="1">
        <v>45669</v>
      </c>
      <c r="J371">
        <f t="shared" si="6"/>
        <v>4</v>
      </c>
    </row>
    <row r="372" spans="1:10" x14ac:dyDescent="0.3">
      <c r="A372">
        <v>447.75</v>
      </c>
      <c r="B372">
        <v>13.17</v>
      </c>
      <c r="G372" t="s">
        <v>22</v>
      </c>
      <c r="H372" s="1">
        <v>45516</v>
      </c>
      <c r="I372" s="1">
        <v>45518</v>
      </c>
      <c r="J372">
        <f t="shared" si="6"/>
        <v>2</v>
      </c>
    </row>
    <row r="373" spans="1:10" x14ac:dyDescent="0.3">
      <c r="A373">
        <v>2675.1239999999998</v>
      </c>
      <c r="B373">
        <v>19.440000000000001</v>
      </c>
      <c r="G373" t="s">
        <v>21</v>
      </c>
      <c r="H373" s="1">
        <v>45015</v>
      </c>
      <c r="I373" s="1">
        <v>45020</v>
      </c>
      <c r="J373">
        <f t="shared" si="6"/>
        <v>5</v>
      </c>
    </row>
    <row r="374" spans="1:10" x14ac:dyDescent="0.3">
      <c r="A374">
        <v>1692.32</v>
      </c>
      <c r="B374">
        <v>48.13</v>
      </c>
      <c r="G374" t="s">
        <v>22</v>
      </c>
      <c r="H374" s="1">
        <v>44958</v>
      </c>
      <c r="I374" s="1">
        <v>44966</v>
      </c>
      <c r="J374">
        <f t="shared" si="6"/>
        <v>8</v>
      </c>
    </row>
    <row r="375" spans="1:10" x14ac:dyDescent="0.3">
      <c r="A375">
        <v>3409.8</v>
      </c>
      <c r="B375">
        <v>19.739999999999998</v>
      </c>
      <c r="G375" t="s">
        <v>21</v>
      </c>
      <c r="H375" s="1">
        <v>45765</v>
      </c>
      <c r="I375" s="1">
        <v>45774</v>
      </c>
      <c r="J375">
        <f t="shared" si="6"/>
        <v>9</v>
      </c>
    </row>
    <row r="376" spans="1:10" x14ac:dyDescent="0.3">
      <c r="A376">
        <v>1481.7329999999999</v>
      </c>
      <c r="B376">
        <v>34.130000000000003</v>
      </c>
      <c r="G376" t="s">
        <v>22</v>
      </c>
      <c r="H376" s="1">
        <v>45745</v>
      </c>
      <c r="I376" s="1">
        <v>45749</v>
      </c>
      <c r="J376">
        <f t="shared" si="6"/>
        <v>4</v>
      </c>
    </row>
    <row r="377" spans="1:10" x14ac:dyDescent="0.3">
      <c r="A377">
        <v>156.20400000000001</v>
      </c>
      <c r="B377">
        <v>39.1</v>
      </c>
      <c r="G377" t="s">
        <v>19</v>
      </c>
      <c r="H377" s="1">
        <v>45407</v>
      </c>
      <c r="I377" s="1">
        <v>45410</v>
      </c>
      <c r="J377">
        <f t="shared" si="6"/>
        <v>3</v>
      </c>
    </row>
    <row r="378" spans="1:10" x14ac:dyDescent="0.3">
      <c r="A378">
        <v>2324.5075000000002</v>
      </c>
      <c r="B378">
        <v>23.7</v>
      </c>
      <c r="G378" t="s">
        <v>20</v>
      </c>
      <c r="H378" s="1">
        <v>45557</v>
      </c>
      <c r="I378" s="1">
        <v>45562</v>
      </c>
      <c r="J378">
        <f t="shared" si="6"/>
        <v>5</v>
      </c>
    </row>
    <row r="379" spans="1:10" x14ac:dyDescent="0.3">
      <c r="A379">
        <v>2206.2600000000002</v>
      </c>
      <c r="B379">
        <v>44.6</v>
      </c>
      <c r="G379" t="s">
        <v>22</v>
      </c>
      <c r="H379" s="1">
        <v>45143</v>
      </c>
      <c r="I379" s="1">
        <v>45152</v>
      </c>
      <c r="J379">
        <f t="shared" si="6"/>
        <v>9</v>
      </c>
    </row>
    <row r="380" spans="1:10" x14ac:dyDescent="0.3">
      <c r="A380">
        <v>401.92599999999999</v>
      </c>
      <c r="B380">
        <v>31.75</v>
      </c>
      <c r="G380" t="s">
        <v>20</v>
      </c>
      <c r="H380" s="1">
        <v>45450</v>
      </c>
      <c r="I380" s="1">
        <v>45454</v>
      </c>
      <c r="J380">
        <f t="shared" si="6"/>
        <v>4</v>
      </c>
    </row>
    <row r="381" spans="1:10" x14ac:dyDescent="0.3">
      <c r="A381">
        <v>5455.7929999999997</v>
      </c>
      <c r="B381">
        <v>45.74</v>
      </c>
      <c r="G381" t="s">
        <v>19</v>
      </c>
      <c r="H381" s="1">
        <v>45801</v>
      </c>
      <c r="I381" s="1">
        <v>45807</v>
      </c>
      <c r="J381">
        <f t="shared" si="6"/>
        <v>6</v>
      </c>
    </row>
    <row r="382" spans="1:10" x14ac:dyDescent="0.3">
      <c r="A382">
        <v>2147.355</v>
      </c>
      <c r="B382">
        <v>8.92</v>
      </c>
      <c r="G382" t="s">
        <v>20</v>
      </c>
      <c r="H382" s="1">
        <v>45491</v>
      </c>
      <c r="I382" s="1">
        <v>45498</v>
      </c>
      <c r="J382">
        <f t="shared" si="6"/>
        <v>7</v>
      </c>
    </row>
    <row r="383" spans="1:10" x14ac:dyDescent="0.3">
      <c r="A383">
        <v>234.95400000000001</v>
      </c>
      <c r="B383">
        <v>11.13</v>
      </c>
      <c r="G383" t="s">
        <v>23</v>
      </c>
      <c r="H383" s="1">
        <v>45487</v>
      </c>
      <c r="I383" s="1">
        <v>45489</v>
      </c>
      <c r="J383">
        <f t="shared" si="6"/>
        <v>2</v>
      </c>
    </row>
    <row r="384" spans="1:10" x14ac:dyDescent="0.3">
      <c r="A384">
        <v>70.224000000000004</v>
      </c>
      <c r="B384">
        <v>34.270000000000003</v>
      </c>
      <c r="G384" t="s">
        <v>22</v>
      </c>
      <c r="H384" s="1">
        <v>45030</v>
      </c>
      <c r="I384" s="1">
        <v>45035</v>
      </c>
      <c r="J384">
        <f t="shared" si="6"/>
        <v>5</v>
      </c>
    </row>
    <row r="385" spans="1:10" x14ac:dyDescent="0.3">
      <c r="A385">
        <v>502.88400000000001</v>
      </c>
      <c r="B385">
        <v>22.95</v>
      </c>
      <c r="G385" t="s">
        <v>20</v>
      </c>
      <c r="H385" s="1">
        <v>45078</v>
      </c>
      <c r="I385" s="1">
        <v>45083</v>
      </c>
      <c r="J385">
        <f t="shared" si="6"/>
        <v>5</v>
      </c>
    </row>
    <row r="386" spans="1:10" x14ac:dyDescent="0.3">
      <c r="A386">
        <v>1683.18</v>
      </c>
      <c r="B386">
        <v>16.989999999999998</v>
      </c>
      <c r="G386" t="s">
        <v>22</v>
      </c>
      <c r="H386" s="1">
        <v>45764</v>
      </c>
      <c r="I386" s="1">
        <v>45767</v>
      </c>
      <c r="J386">
        <f t="shared" si="6"/>
        <v>3</v>
      </c>
    </row>
    <row r="387" spans="1:10" x14ac:dyDescent="0.3">
      <c r="A387">
        <v>7294.2899999999991</v>
      </c>
      <c r="B387">
        <v>10.220000000000001</v>
      </c>
      <c r="G387" t="s">
        <v>19</v>
      </c>
      <c r="H387" s="1">
        <v>45747</v>
      </c>
      <c r="I387" s="1">
        <v>45756</v>
      </c>
      <c r="J387">
        <f t="shared" ref="J387:J450" si="7">I387-H387</f>
        <v>9</v>
      </c>
    </row>
    <row r="388" spans="1:10" x14ac:dyDescent="0.3">
      <c r="A388">
        <v>3259.7</v>
      </c>
      <c r="B388">
        <v>49.95</v>
      </c>
      <c r="G388" t="s">
        <v>19</v>
      </c>
      <c r="H388" s="1">
        <v>45488</v>
      </c>
      <c r="I388" s="1">
        <v>45495</v>
      </c>
      <c r="J388">
        <f t="shared" si="7"/>
        <v>7</v>
      </c>
    </row>
    <row r="389" spans="1:10" x14ac:dyDescent="0.3">
      <c r="A389">
        <v>7978.44</v>
      </c>
      <c r="B389">
        <v>5.86</v>
      </c>
      <c r="G389" t="s">
        <v>20</v>
      </c>
      <c r="H389" s="1">
        <v>45534</v>
      </c>
      <c r="I389" s="1">
        <v>45536</v>
      </c>
      <c r="J389">
        <f t="shared" si="7"/>
        <v>2</v>
      </c>
    </row>
    <row r="390" spans="1:10" x14ac:dyDescent="0.3">
      <c r="A390">
        <v>2426.9699999999998</v>
      </c>
      <c r="B390">
        <v>19.920000000000002</v>
      </c>
      <c r="G390" t="s">
        <v>22</v>
      </c>
      <c r="H390" s="1">
        <v>45664</v>
      </c>
      <c r="I390" s="1">
        <v>45667</v>
      </c>
      <c r="J390">
        <f t="shared" si="7"/>
        <v>3</v>
      </c>
    </row>
    <row r="391" spans="1:10" x14ac:dyDescent="0.3">
      <c r="A391">
        <v>526.83199999999988</v>
      </c>
      <c r="B391">
        <v>49.9</v>
      </c>
      <c r="G391" t="s">
        <v>20</v>
      </c>
      <c r="H391" s="1">
        <v>45693</v>
      </c>
      <c r="I391" s="1">
        <v>45699</v>
      </c>
      <c r="J391">
        <f t="shared" si="7"/>
        <v>6</v>
      </c>
    </row>
    <row r="392" spans="1:10" x14ac:dyDescent="0.3">
      <c r="A392">
        <v>2372.1120000000001</v>
      </c>
      <c r="B392">
        <v>39.99</v>
      </c>
      <c r="G392" t="s">
        <v>21</v>
      </c>
      <c r="H392" s="1">
        <v>45383</v>
      </c>
      <c r="I392" s="1">
        <v>45386</v>
      </c>
      <c r="J392">
        <f t="shared" si="7"/>
        <v>3</v>
      </c>
    </row>
    <row r="393" spans="1:10" x14ac:dyDescent="0.3">
      <c r="A393">
        <v>264.48</v>
      </c>
      <c r="B393">
        <v>17.68</v>
      </c>
      <c r="G393" t="s">
        <v>23</v>
      </c>
      <c r="H393" s="1">
        <v>45717</v>
      </c>
      <c r="I393" s="1">
        <v>45725</v>
      </c>
      <c r="J393">
        <f t="shared" si="7"/>
        <v>8</v>
      </c>
    </row>
    <row r="394" spans="1:10" x14ac:dyDescent="0.3">
      <c r="A394">
        <v>608.74450000000002</v>
      </c>
      <c r="B394">
        <v>47.78</v>
      </c>
      <c r="G394" t="s">
        <v>22</v>
      </c>
      <c r="H394" s="1">
        <v>45110</v>
      </c>
      <c r="I394" s="1">
        <v>45113</v>
      </c>
      <c r="J394">
        <f t="shared" si="7"/>
        <v>3</v>
      </c>
    </row>
    <row r="395" spans="1:10" x14ac:dyDescent="0.3">
      <c r="A395">
        <v>2277.5155</v>
      </c>
      <c r="B395">
        <v>22.59</v>
      </c>
      <c r="G395" t="s">
        <v>22</v>
      </c>
      <c r="H395" s="1">
        <v>45041</v>
      </c>
      <c r="I395" s="1">
        <v>45047</v>
      </c>
      <c r="J395">
        <f t="shared" si="7"/>
        <v>6</v>
      </c>
    </row>
    <row r="396" spans="1:10" x14ac:dyDescent="0.3">
      <c r="A396">
        <v>6442.253999999999</v>
      </c>
      <c r="B396">
        <v>29.24</v>
      </c>
      <c r="G396" t="s">
        <v>23</v>
      </c>
      <c r="H396" s="1">
        <v>45756</v>
      </c>
      <c r="I396" s="1">
        <v>45766</v>
      </c>
      <c r="J396">
        <f t="shared" si="7"/>
        <v>10</v>
      </c>
    </row>
    <row r="397" spans="1:10" x14ac:dyDescent="0.3">
      <c r="A397">
        <v>2697.42</v>
      </c>
      <c r="B397">
        <v>23.09</v>
      </c>
      <c r="G397" t="s">
        <v>21</v>
      </c>
      <c r="H397" s="1">
        <v>45235</v>
      </c>
      <c r="I397" s="1">
        <v>45242</v>
      </c>
      <c r="J397">
        <f t="shared" si="7"/>
        <v>7</v>
      </c>
    </row>
    <row r="398" spans="1:10" x14ac:dyDescent="0.3">
      <c r="A398">
        <v>2007.09</v>
      </c>
      <c r="B398">
        <v>11.9</v>
      </c>
      <c r="G398" t="s">
        <v>19</v>
      </c>
      <c r="H398" s="1">
        <v>44939</v>
      </c>
      <c r="I398" s="1">
        <v>44945</v>
      </c>
      <c r="J398">
        <f t="shared" si="7"/>
        <v>6</v>
      </c>
    </row>
    <row r="399" spans="1:10" x14ac:dyDescent="0.3">
      <c r="A399">
        <v>3473.7289999999998</v>
      </c>
      <c r="B399">
        <v>27.51</v>
      </c>
      <c r="G399" t="s">
        <v>23</v>
      </c>
      <c r="H399" s="1">
        <v>45694</v>
      </c>
      <c r="I399" s="1">
        <v>45698</v>
      </c>
      <c r="J399">
        <f t="shared" si="7"/>
        <v>4</v>
      </c>
    </row>
    <row r="400" spans="1:10" x14ac:dyDescent="0.3">
      <c r="A400">
        <v>1181.18</v>
      </c>
      <c r="B400">
        <v>16.739999999999998</v>
      </c>
      <c r="G400" t="s">
        <v>20</v>
      </c>
      <c r="H400" s="1">
        <v>45066</v>
      </c>
      <c r="I400" s="1">
        <v>45071</v>
      </c>
      <c r="J400">
        <f t="shared" si="7"/>
        <v>5</v>
      </c>
    </row>
    <row r="401" spans="1:10" x14ac:dyDescent="0.3">
      <c r="A401">
        <v>436.2</v>
      </c>
      <c r="B401">
        <v>21.02</v>
      </c>
      <c r="G401" t="s">
        <v>19</v>
      </c>
      <c r="H401" s="1">
        <v>45826</v>
      </c>
      <c r="I401" s="1">
        <v>45832</v>
      </c>
      <c r="J401">
        <f t="shared" si="7"/>
        <v>6</v>
      </c>
    </row>
    <row r="402" spans="1:10" x14ac:dyDescent="0.3">
      <c r="A402">
        <v>2947.2</v>
      </c>
      <c r="B402">
        <v>43.92</v>
      </c>
      <c r="G402" t="s">
        <v>23</v>
      </c>
      <c r="H402" s="1">
        <v>44980</v>
      </c>
      <c r="I402" s="1">
        <v>44984</v>
      </c>
      <c r="J402">
        <f t="shared" si="7"/>
        <v>4</v>
      </c>
    </row>
    <row r="403" spans="1:10" x14ac:dyDescent="0.3">
      <c r="A403">
        <v>5700.45</v>
      </c>
      <c r="B403">
        <v>25.72</v>
      </c>
      <c r="G403" t="s">
        <v>19</v>
      </c>
      <c r="H403" s="1">
        <v>45605</v>
      </c>
      <c r="I403" s="1">
        <v>45608</v>
      </c>
      <c r="J403">
        <f t="shared" si="7"/>
        <v>3</v>
      </c>
    </row>
    <row r="404" spans="1:10" x14ac:dyDescent="0.3">
      <c r="A404">
        <v>1190.1030000000001</v>
      </c>
      <c r="B404">
        <v>43.42</v>
      </c>
      <c r="G404" t="s">
        <v>20</v>
      </c>
      <c r="H404" s="1">
        <v>45498</v>
      </c>
      <c r="I404" s="1">
        <v>45504</v>
      </c>
      <c r="J404">
        <f t="shared" si="7"/>
        <v>6</v>
      </c>
    </row>
    <row r="405" spans="1:10" x14ac:dyDescent="0.3">
      <c r="A405">
        <v>5510.1674999999996</v>
      </c>
      <c r="B405">
        <v>44.88</v>
      </c>
      <c r="G405" t="s">
        <v>23</v>
      </c>
      <c r="H405" s="1">
        <v>45157</v>
      </c>
      <c r="I405" s="1">
        <v>45161</v>
      </c>
      <c r="J405">
        <f t="shared" si="7"/>
        <v>4</v>
      </c>
    </row>
    <row r="406" spans="1:10" x14ac:dyDescent="0.3">
      <c r="A406">
        <v>6221.7090000000007</v>
      </c>
      <c r="B406">
        <v>37.909999999999997</v>
      </c>
      <c r="G406" t="s">
        <v>20</v>
      </c>
      <c r="H406" s="1">
        <v>45243</v>
      </c>
      <c r="I406" s="1">
        <v>45245</v>
      </c>
      <c r="J406">
        <f t="shared" si="7"/>
        <v>2</v>
      </c>
    </row>
    <row r="407" spans="1:10" x14ac:dyDescent="0.3">
      <c r="A407">
        <v>5470.9264999999996</v>
      </c>
      <c r="B407">
        <v>37.119999999999997</v>
      </c>
      <c r="G407" t="s">
        <v>23</v>
      </c>
      <c r="H407" s="1">
        <v>45545</v>
      </c>
      <c r="I407" s="1">
        <v>45553</v>
      </c>
      <c r="J407">
        <f t="shared" si="7"/>
        <v>8</v>
      </c>
    </row>
    <row r="408" spans="1:10" x14ac:dyDescent="0.3">
      <c r="A408">
        <v>7377.5</v>
      </c>
      <c r="B408">
        <v>28.41</v>
      </c>
      <c r="G408" t="s">
        <v>22</v>
      </c>
      <c r="H408" s="1">
        <v>45534</v>
      </c>
      <c r="I408" s="1">
        <v>45537</v>
      </c>
      <c r="J408">
        <f t="shared" si="7"/>
        <v>3</v>
      </c>
    </row>
    <row r="409" spans="1:10" x14ac:dyDescent="0.3">
      <c r="A409">
        <v>7042.7999999999993</v>
      </c>
      <c r="B409">
        <v>35.6</v>
      </c>
      <c r="G409" t="s">
        <v>19</v>
      </c>
      <c r="H409" s="1">
        <v>45606</v>
      </c>
      <c r="I409" s="1">
        <v>45613</v>
      </c>
      <c r="J409">
        <f t="shared" si="7"/>
        <v>7</v>
      </c>
    </row>
    <row r="410" spans="1:10" x14ac:dyDescent="0.3">
      <c r="A410">
        <v>336.67649999999998</v>
      </c>
      <c r="B410">
        <v>39.380000000000003</v>
      </c>
      <c r="G410" t="s">
        <v>19</v>
      </c>
      <c r="H410" s="1">
        <v>45029</v>
      </c>
      <c r="I410" s="1">
        <v>45035</v>
      </c>
      <c r="J410">
        <f t="shared" si="7"/>
        <v>6</v>
      </c>
    </row>
    <row r="411" spans="1:10" x14ac:dyDescent="0.3">
      <c r="A411">
        <v>2231.3220000000001</v>
      </c>
      <c r="B411">
        <v>37.090000000000003</v>
      </c>
      <c r="G411" t="s">
        <v>19</v>
      </c>
      <c r="H411" s="1">
        <v>45250</v>
      </c>
      <c r="I411" s="1">
        <v>45257</v>
      </c>
      <c r="J411">
        <f t="shared" si="7"/>
        <v>7</v>
      </c>
    </row>
    <row r="412" spans="1:10" x14ac:dyDescent="0.3">
      <c r="A412">
        <v>1752.02</v>
      </c>
      <c r="B412">
        <v>29.31</v>
      </c>
      <c r="G412" t="s">
        <v>21</v>
      </c>
      <c r="H412" s="1">
        <v>45761</v>
      </c>
      <c r="I412" s="1">
        <v>45766</v>
      </c>
      <c r="J412">
        <f t="shared" si="7"/>
        <v>5</v>
      </c>
    </row>
    <row r="413" spans="1:10" x14ac:dyDescent="0.3">
      <c r="A413">
        <v>5221.9749999999995</v>
      </c>
      <c r="B413">
        <v>48.15</v>
      </c>
      <c r="G413" t="s">
        <v>22</v>
      </c>
      <c r="H413" s="1">
        <v>44989</v>
      </c>
      <c r="I413" s="1">
        <v>44994</v>
      </c>
      <c r="J413">
        <f t="shared" si="7"/>
        <v>5</v>
      </c>
    </row>
    <row r="414" spans="1:10" x14ac:dyDescent="0.3">
      <c r="A414">
        <v>596.15599999999995</v>
      </c>
      <c r="B414">
        <v>40.86</v>
      </c>
      <c r="G414" t="s">
        <v>21</v>
      </c>
      <c r="H414" s="1">
        <v>45612</v>
      </c>
      <c r="I414" s="1">
        <v>45615</v>
      </c>
      <c r="J414">
        <f t="shared" si="7"/>
        <v>3</v>
      </c>
    </row>
    <row r="415" spans="1:10" x14ac:dyDescent="0.3">
      <c r="A415">
        <v>9095.8700000000008</v>
      </c>
      <c r="B415">
        <v>46.46</v>
      </c>
      <c r="G415" t="s">
        <v>20</v>
      </c>
      <c r="H415" s="1">
        <v>45437</v>
      </c>
      <c r="I415" s="1">
        <v>45445</v>
      </c>
      <c r="J415">
        <f t="shared" si="7"/>
        <v>8</v>
      </c>
    </row>
    <row r="416" spans="1:10" x14ac:dyDescent="0.3">
      <c r="A416">
        <v>1552.865</v>
      </c>
      <c r="B416">
        <v>5.66</v>
      </c>
      <c r="G416" t="s">
        <v>19</v>
      </c>
      <c r="H416" s="1">
        <v>45028</v>
      </c>
      <c r="I416" s="1">
        <v>45031</v>
      </c>
      <c r="J416">
        <f t="shared" si="7"/>
        <v>3</v>
      </c>
    </row>
    <row r="417" spans="1:10" x14ac:dyDescent="0.3">
      <c r="A417">
        <v>3377.3049999999998</v>
      </c>
      <c r="B417">
        <v>10.199999999999999</v>
      </c>
      <c r="G417" t="s">
        <v>20</v>
      </c>
      <c r="H417" s="1">
        <v>44992</v>
      </c>
      <c r="I417" s="1">
        <v>44998</v>
      </c>
      <c r="J417">
        <f t="shared" si="7"/>
        <v>6</v>
      </c>
    </row>
    <row r="418" spans="1:10" x14ac:dyDescent="0.3">
      <c r="A418">
        <v>3687.453</v>
      </c>
      <c r="B418">
        <v>24.69</v>
      </c>
      <c r="G418" t="s">
        <v>22</v>
      </c>
      <c r="H418" s="1">
        <v>45296</v>
      </c>
      <c r="I418" s="1">
        <v>45302</v>
      </c>
      <c r="J418">
        <f t="shared" si="7"/>
        <v>6</v>
      </c>
    </row>
    <row r="419" spans="1:10" x14ac:dyDescent="0.3">
      <c r="A419">
        <v>1397.4</v>
      </c>
      <c r="B419">
        <v>32.5</v>
      </c>
      <c r="G419" t="s">
        <v>23</v>
      </c>
      <c r="H419" s="1">
        <v>45596</v>
      </c>
      <c r="I419" s="1">
        <v>45606</v>
      </c>
      <c r="J419">
        <f t="shared" si="7"/>
        <v>10</v>
      </c>
    </row>
    <row r="420" spans="1:10" x14ac:dyDescent="0.3">
      <c r="A420">
        <v>2459.0880000000002</v>
      </c>
      <c r="B420">
        <v>45.93</v>
      </c>
      <c r="G420" t="s">
        <v>23</v>
      </c>
      <c r="H420" s="1">
        <v>45420</v>
      </c>
      <c r="I420" s="1">
        <v>45426</v>
      </c>
      <c r="J420">
        <f t="shared" si="7"/>
        <v>6</v>
      </c>
    </row>
    <row r="421" spans="1:10" x14ac:dyDescent="0.3">
      <c r="A421">
        <v>6.9699999999999989</v>
      </c>
      <c r="B421">
        <v>30.35</v>
      </c>
      <c r="G421" t="s">
        <v>22</v>
      </c>
      <c r="H421" s="1">
        <v>45356</v>
      </c>
      <c r="I421" s="1">
        <v>45366</v>
      </c>
      <c r="J421">
        <f t="shared" si="7"/>
        <v>10</v>
      </c>
    </row>
    <row r="422" spans="1:10" x14ac:dyDescent="0.3">
      <c r="A422">
        <v>4598.424</v>
      </c>
      <c r="B422">
        <v>25.48</v>
      </c>
      <c r="G422" t="s">
        <v>21</v>
      </c>
      <c r="H422" s="1">
        <v>45125</v>
      </c>
      <c r="I422" s="1">
        <v>45129</v>
      </c>
      <c r="J422">
        <f t="shared" si="7"/>
        <v>4</v>
      </c>
    </row>
    <row r="423" spans="1:10" x14ac:dyDescent="0.3">
      <c r="A423">
        <v>2180.52</v>
      </c>
      <c r="B423">
        <v>21.47</v>
      </c>
      <c r="G423" t="s">
        <v>20</v>
      </c>
      <c r="H423" s="1">
        <v>45143</v>
      </c>
      <c r="I423" s="1">
        <v>45152</v>
      </c>
      <c r="J423">
        <f t="shared" si="7"/>
        <v>9</v>
      </c>
    </row>
    <row r="424" spans="1:10" x14ac:dyDescent="0.3">
      <c r="A424">
        <v>8514.4699999999993</v>
      </c>
      <c r="B424">
        <v>28.29</v>
      </c>
      <c r="G424" t="s">
        <v>23</v>
      </c>
      <c r="H424" s="1">
        <v>45187</v>
      </c>
      <c r="I424" s="1">
        <v>45189</v>
      </c>
      <c r="J424">
        <f t="shared" si="7"/>
        <v>2</v>
      </c>
    </row>
    <row r="425" spans="1:10" x14ac:dyDescent="0.3">
      <c r="A425">
        <v>56.231999999999999</v>
      </c>
      <c r="B425">
        <v>25.03</v>
      </c>
      <c r="G425" t="s">
        <v>20</v>
      </c>
      <c r="H425" s="1">
        <v>45012</v>
      </c>
      <c r="I425" s="1">
        <v>45014</v>
      </c>
      <c r="J425">
        <f t="shared" si="7"/>
        <v>2</v>
      </c>
    </row>
    <row r="426" spans="1:10" x14ac:dyDescent="0.3">
      <c r="A426">
        <v>3091.7559999999999</v>
      </c>
      <c r="B426">
        <v>35.54</v>
      </c>
      <c r="G426" t="s">
        <v>19</v>
      </c>
      <c r="H426" s="1">
        <v>44993</v>
      </c>
      <c r="I426" s="1">
        <v>45002</v>
      </c>
      <c r="J426">
        <f t="shared" si="7"/>
        <v>9</v>
      </c>
    </row>
    <row r="427" spans="1:10" x14ac:dyDescent="0.3">
      <c r="A427">
        <v>1042.0999999999999</v>
      </c>
      <c r="B427">
        <v>46.37</v>
      </c>
      <c r="G427" t="s">
        <v>23</v>
      </c>
      <c r="H427" s="1">
        <v>45414</v>
      </c>
      <c r="I427" s="1">
        <v>45418</v>
      </c>
      <c r="J427">
        <f t="shared" si="7"/>
        <v>4</v>
      </c>
    </row>
    <row r="428" spans="1:10" x14ac:dyDescent="0.3">
      <c r="A428">
        <v>2360.6965</v>
      </c>
      <c r="B428">
        <v>5.36</v>
      </c>
      <c r="G428" t="s">
        <v>21</v>
      </c>
      <c r="H428" s="1">
        <v>45185</v>
      </c>
      <c r="I428" s="1">
        <v>45195</v>
      </c>
      <c r="J428">
        <f t="shared" si="7"/>
        <v>10</v>
      </c>
    </row>
    <row r="429" spans="1:10" x14ac:dyDescent="0.3">
      <c r="A429">
        <v>8175.4400000000014</v>
      </c>
      <c r="B429">
        <v>23.03</v>
      </c>
      <c r="G429" t="s">
        <v>20</v>
      </c>
      <c r="H429" s="1">
        <v>45090</v>
      </c>
      <c r="I429" s="1">
        <v>45099</v>
      </c>
      <c r="J429">
        <f t="shared" si="7"/>
        <v>9</v>
      </c>
    </row>
    <row r="430" spans="1:10" x14ac:dyDescent="0.3">
      <c r="A430">
        <v>2607.5520000000001</v>
      </c>
      <c r="B430">
        <v>39.840000000000003</v>
      </c>
      <c r="G430" t="s">
        <v>21</v>
      </c>
      <c r="H430" s="1">
        <v>45235</v>
      </c>
      <c r="I430" s="1">
        <v>45238</v>
      </c>
      <c r="J430">
        <f t="shared" si="7"/>
        <v>3</v>
      </c>
    </row>
    <row r="431" spans="1:10" x14ac:dyDescent="0.3">
      <c r="A431">
        <v>3319.52</v>
      </c>
      <c r="B431">
        <v>46.58</v>
      </c>
      <c r="G431" t="s">
        <v>20</v>
      </c>
      <c r="H431" s="1">
        <v>45619</v>
      </c>
      <c r="I431" s="1">
        <v>45622</v>
      </c>
      <c r="J431">
        <f t="shared" si="7"/>
        <v>3</v>
      </c>
    </row>
    <row r="432" spans="1:10" x14ac:dyDescent="0.3">
      <c r="A432">
        <v>7075.52</v>
      </c>
      <c r="B432">
        <v>27.36</v>
      </c>
      <c r="G432" t="s">
        <v>22</v>
      </c>
      <c r="H432" s="1">
        <v>45331</v>
      </c>
      <c r="I432" s="1">
        <v>45340</v>
      </c>
      <c r="J432">
        <f t="shared" si="7"/>
        <v>9</v>
      </c>
    </row>
    <row r="433" spans="1:10" x14ac:dyDescent="0.3">
      <c r="A433">
        <v>7501.9139999999998</v>
      </c>
      <c r="B433">
        <v>9.51</v>
      </c>
      <c r="G433" t="s">
        <v>22</v>
      </c>
      <c r="H433" s="1">
        <v>45246</v>
      </c>
      <c r="I433" s="1">
        <v>45252</v>
      </c>
      <c r="J433">
        <f t="shared" si="7"/>
        <v>6</v>
      </c>
    </row>
    <row r="434" spans="1:10" x14ac:dyDescent="0.3">
      <c r="A434">
        <v>894.03000000000009</v>
      </c>
      <c r="B434">
        <v>17.920000000000002</v>
      </c>
      <c r="G434" t="s">
        <v>22</v>
      </c>
      <c r="H434" s="1">
        <v>45681</v>
      </c>
      <c r="I434" s="1">
        <v>45686</v>
      </c>
      <c r="J434">
        <f t="shared" si="7"/>
        <v>5</v>
      </c>
    </row>
    <row r="435" spans="1:10" x14ac:dyDescent="0.3">
      <c r="A435">
        <v>1901.5605</v>
      </c>
      <c r="B435">
        <v>8.4700000000000006</v>
      </c>
      <c r="G435" t="s">
        <v>22</v>
      </c>
      <c r="H435" s="1">
        <v>45783</v>
      </c>
      <c r="I435" s="1">
        <v>45786</v>
      </c>
      <c r="J435">
        <f t="shared" si="7"/>
        <v>3</v>
      </c>
    </row>
    <row r="436" spans="1:10" x14ac:dyDescent="0.3">
      <c r="A436">
        <v>6461.8274999999994</v>
      </c>
      <c r="B436">
        <v>41.03</v>
      </c>
      <c r="G436" t="s">
        <v>19</v>
      </c>
      <c r="H436" s="1">
        <v>45794</v>
      </c>
      <c r="I436" s="1">
        <v>45804</v>
      </c>
      <c r="J436">
        <f t="shared" si="7"/>
        <v>10</v>
      </c>
    </row>
    <row r="437" spans="1:10" x14ac:dyDescent="0.3">
      <c r="A437">
        <v>8689.9920000000002</v>
      </c>
      <c r="B437">
        <v>19.61</v>
      </c>
      <c r="G437" t="s">
        <v>22</v>
      </c>
      <c r="H437" s="1">
        <v>45259</v>
      </c>
      <c r="I437" s="1">
        <v>45261</v>
      </c>
      <c r="J437">
        <f t="shared" si="7"/>
        <v>2</v>
      </c>
    </row>
    <row r="438" spans="1:10" x14ac:dyDescent="0.3">
      <c r="A438">
        <v>3005.44</v>
      </c>
      <c r="B438">
        <v>18.649999999999999</v>
      </c>
      <c r="G438" t="s">
        <v>20</v>
      </c>
      <c r="H438" s="1">
        <v>44981</v>
      </c>
      <c r="I438" s="1">
        <v>44983</v>
      </c>
      <c r="J438">
        <f t="shared" si="7"/>
        <v>2</v>
      </c>
    </row>
    <row r="439" spans="1:10" x14ac:dyDescent="0.3">
      <c r="A439">
        <v>6522.39</v>
      </c>
      <c r="B439">
        <v>29.81</v>
      </c>
      <c r="G439" t="s">
        <v>20</v>
      </c>
      <c r="H439" s="1">
        <v>45234</v>
      </c>
      <c r="I439" s="1">
        <v>45240</v>
      </c>
      <c r="J439">
        <f t="shared" si="7"/>
        <v>6</v>
      </c>
    </row>
    <row r="440" spans="1:10" x14ac:dyDescent="0.3">
      <c r="A440">
        <v>448.51499999999999</v>
      </c>
      <c r="B440">
        <v>34.700000000000003</v>
      </c>
      <c r="G440" t="s">
        <v>19</v>
      </c>
      <c r="H440" s="1">
        <v>45458</v>
      </c>
      <c r="I440" s="1">
        <v>45465</v>
      </c>
      <c r="J440">
        <f t="shared" si="7"/>
        <v>7</v>
      </c>
    </row>
    <row r="441" spans="1:10" x14ac:dyDescent="0.3">
      <c r="A441">
        <v>6962.2460000000001</v>
      </c>
      <c r="B441">
        <v>12.46</v>
      </c>
      <c r="G441" t="s">
        <v>21</v>
      </c>
      <c r="H441" s="1">
        <v>45567</v>
      </c>
      <c r="I441" s="1">
        <v>45571</v>
      </c>
      <c r="J441">
        <f t="shared" si="7"/>
        <v>4</v>
      </c>
    </row>
    <row r="442" spans="1:10" x14ac:dyDescent="0.3">
      <c r="A442">
        <v>146.79900000000001</v>
      </c>
      <c r="B442">
        <v>48.71</v>
      </c>
      <c r="G442" t="s">
        <v>23</v>
      </c>
      <c r="H442" s="1">
        <v>45080</v>
      </c>
      <c r="I442" s="1">
        <v>45090</v>
      </c>
      <c r="J442">
        <f t="shared" si="7"/>
        <v>10</v>
      </c>
    </row>
    <row r="443" spans="1:10" x14ac:dyDescent="0.3">
      <c r="A443">
        <v>2405.8739999999998</v>
      </c>
      <c r="B443">
        <v>36.79</v>
      </c>
      <c r="G443" t="s">
        <v>19</v>
      </c>
      <c r="H443" s="1">
        <v>45179</v>
      </c>
      <c r="I443" s="1">
        <v>45187</v>
      </c>
      <c r="J443">
        <f t="shared" si="7"/>
        <v>8</v>
      </c>
    </row>
    <row r="444" spans="1:10" x14ac:dyDescent="0.3">
      <c r="A444">
        <v>5205.3065000000006</v>
      </c>
      <c r="B444">
        <v>33.950000000000003</v>
      </c>
      <c r="G444" t="s">
        <v>22</v>
      </c>
      <c r="H444" s="1">
        <v>45797</v>
      </c>
      <c r="I444" s="1">
        <v>45799</v>
      </c>
      <c r="J444">
        <f t="shared" si="7"/>
        <v>2</v>
      </c>
    </row>
    <row r="445" spans="1:10" x14ac:dyDescent="0.3">
      <c r="A445">
        <v>1355.5619999999999</v>
      </c>
      <c r="B445">
        <v>28.52</v>
      </c>
      <c r="G445" t="s">
        <v>21</v>
      </c>
      <c r="H445" s="1">
        <v>45193</v>
      </c>
      <c r="I445" s="1">
        <v>45202</v>
      </c>
      <c r="J445">
        <f t="shared" si="7"/>
        <v>9</v>
      </c>
    </row>
    <row r="446" spans="1:10" x14ac:dyDescent="0.3">
      <c r="A446">
        <v>6451.8120000000008</v>
      </c>
      <c r="B446">
        <v>16.8</v>
      </c>
      <c r="G446" t="s">
        <v>19</v>
      </c>
      <c r="H446" s="1">
        <v>45745</v>
      </c>
      <c r="I446" s="1">
        <v>45751</v>
      </c>
      <c r="J446">
        <f t="shared" si="7"/>
        <v>6</v>
      </c>
    </row>
    <row r="447" spans="1:10" x14ac:dyDescent="0.3">
      <c r="A447">
        <v>2105.2800000000002</v>
      </c>
      <c r="B447">
        <v>16.440000000000001</v>
      </c>
      <c r="G447" t="s">
        <v>19</v>
      </c>
      <c r="H447" s="1">
        <v>45094</v>
      </c>
      <c r="I447" s="1">
        <v>45102</v>
      </c>
      <c r="J447">
        <f t="shared" si="7"/>
        <v>8</v>
      </c>
    </row>
    <row r="448" spans="1:10" x14ac:dyDescent="0.3">
      <c r="A448">
        <v>7219.9</v>
      </c>
      <c r="B448">
        <v>42.03</v>
      </c>
      <c r="G448" t="s">
        <v>23</v>
      </c>
      <c r="H448" s="1">
        <v>45319</v>
      </c>
      <c r="I448" s="1">
        <v>45327</v>
      </c>
      <c r="J448">
        <f t="shared" si="7"/>
        <v>8</v>
      </c>
    </row>
    <row r="449" spans="1:10" x14ac:dyDescent="0.3">
      <c r="A449">
        <v>2580.768</v>
      </c>
      <c r="B449">
        <v>45.99</v>
      </c>
      <c r="G449" t="s">
        <v>22</v>
      </c>
      <c r="H449" s="1">
        <v>44999</v>
      </c>
      <c r="I449" s="1">
        <v>45002</v>
      </c>
      <c r="J449">
        <f t="shared" si="7"/>
        <v>3</v>
      </c>
    </row>
    <row r="450" spans="1:10" x14ac:dyDescent="0.3">
      <c r="A450">
        <v>1783.92</v>
      </c>
      <c r="B450">
        <v>27.16</v>
      </c>
      <c r="G450" t="s">
        <v>19</v>
      </c>
      <c r="H450" s="1">
        <v>45666</v>
      </c>
      <c r="I450" s="1">
        <v>45674</v>
      </c>
      <c r="J450">
        <f t="shared" si="7"/>
        <v>8</v>
      </c>
    </row>
    <row r="451" spans="1:10" x14ac:dyDescent="0.3">
      <c r="A451">
        <v>6261.848</v>
      </c>
      <c r="B451">
        <v>20.38</v>
      </c>
      <c r="G451" t="s">
        <v>22</v>
      </c>
      <c r="H451" s="1">
        <v>45746</v>
      </c>
      <c r="I451" s="1">
        <v>45753</v>
      </c>
      <c r="J451">
        <f t="shared" ref="J451:J514" si="8">I451-H451</f>
        <v>7</v>
      </c>
    </row>
    <row r="452" spans="1:10" x14ac:dyDescent="0.3">
      <c r="A452">
        <v>1588.2574999999999</v>
      </c>
      <c r="B452">
        <v>32.130000000000003</v>
      </c>
      <c r="G452" t="s">
        <v>19</v>
      </c>
      <c r="H452" s="1">
        <v>45222</v>
      </c>
      <c r="I452" s="1">
        <v>45227</v>
      </c>
      <c r="J452">
        <f t="shared" si="8"/>
        <v>5</v>
      </c>
    </row>
    <row r="453" spans="1:10" x14ac:dyDescent="0.3">
      <c r="A453">
        <v>1529.2860000000001</v>
      </c>
      <c r="B453">
        <v>14.93</v>
      </c>
      <c r="G453" t="s">
        <v>23</v>
      </c>
      <c r="H453" s="1">
        <v>45816</v>
      </c>
      <c r="I453" s="1">
        <v>45822</v>
      </c>
      <c r="J453">
        <f t="shared" si="8"/>
        <v>6</v>
      </c>
    </row>
    <row r="454" spans="1:10" x14ac:dyDescent="0.3">
      <c r="A454">
        <v>4288.24</v>
      </c>
      <c r="B454">
        <v>10.24</v>
      </c>
      <c r="G454" t="s">
        <v>23</v>
      </c>
      <c r="H454" s="1">
        <v>45348</v>
      </c>
      <c r="I454" s="1">
        <v>45351</v>
      </c>
      <c r="J454">
        <f t="shared" si="8"/>
        <v>3</v>
      </c>
    </row>
    <row r="455" spans="1:10" x14ac:dyDescent="0.3">
      <c r="A455">
        <v>4412.9250000000002</v>
      </c>
      <c r="B455">
        <v>18.07</v>
      </c>
      <c r="G455" t="s">
        <v>19</v>
      </c>
      <c r="H455" s="1">
        <v>45595</v>
      </c>
      <c r="I455" s="1">
        <v>45603</v>
      </c>
      <c r="J455">
        <f t="shared" si="8"/>
        <v>8</v>
      </c>
    </row>
    <row r="456" spans="1:10" x14ac:dyDescent="0.3">
      <c r="A456">
        <v>1481.652</v>
      </c>
      <c r="B456">
        <v>8.1</v>
      </c>
      <c r="G456" t="s">
        <v>20</v>
      </c>
      <c r="H456" s="1">
        <v>45523</v>
      </c>
      <c r="I456" s="1">
        <v>45527</v>
      </c>
      <c r="J456">
        <f t="shared" si="8"/>
        <v>4</v>
      </c>
    </row>
    <row r="457" spans="1:10" x14ac:dyDescent="0.3">
      <c r="A457">
        <v>475.47899999999998</v>
      </c>
      <c r="B457">
        <v>24.55</v>
      </c>
      <c r="G457" t="s">
        <v>22</v>
      </c>
      <c r="H457" s="1">
        <v>45137</v>
      </c>
      <c r="I457" s="1">
        <v>45147</v>
      </c>
      <c r="J457">
        <f t="shared" si="8"/>
        <v>10</v>
      </c>
    </row>
    <row r="458" spans="1:10" x14ac:dyDescent="0.3">
      <c r="A458">
        <v>1024.48</v>
      </c>
      <c r="B458">
        <v>16.71</v>
      </c>
      <c r="G458" t="s">
        <v>21</v>
      </c>
      <c r="H458" s="1">
        <v>45517</v>
      </c>
      <c r="I458" s="1">
        <v>45527</v>
      </c>
      <c r="J458">
        <f t="shared" si="8"/>
        <v>10</v>
      </c>
    </row>
    <row r="459" spans="1:10" x14ac:dyDescent="0.3">
      <c r="A459">
        <v>2215.2195000000002</v>
      </c>
      <c r="B459">
        <v>35.28</v>
      </c>
      <c r="G459" t="s">
        <v>21</v>
      </c>
      <c r="H459" s="1">
        <v>45234</v>
      </c>
      <c r="I459" s="1">
        <v>45242</v>
      </c>
      <c r="J459">
        <f t="shared" si="8"/>
        <v>8</v>
      </c>
    </row>
    <row r="460" spans="1:10" x14ac:dyDescent="0.3">
      <c r="A460">
        <v>9331.85</v>
      </c>
      <c r="B460">
        <v>48.68</v>
      </c>
      <c r="G460" t="s">
        <v>19</v>
      </c>
      <c r="H460" s="1">
        <v>45813</v>
      </c>
      <c r="I460" s="1">
        <v>45823</v>
      </c>
      <c r="J460">
        <f t="shared" si="8"/>
        <v>10</v>
      </c>
    </row>
    <row r="461" spans="1:10" x14ac:dyDescent="0.3">
      <c r="A461">
        <v>1801.7</v>
      </c>
      <c r="B461">
        <v>33.76</v>
      </c>
      <c r="G461" t="s">
        <v>21</v>
      </c>
      <c r="H461" s="1">
        <v>45100</v>
      </c>
      <c r="I461" s="1">
        <v>45105</v>
      </c>
      <c r="J461">
        <f t="shared" si="8"/>
        <v>5</v>
      </c>
    </row>
    <row r="462" spans="1:10" x14ac:dyDescent="0.3">
      <c r="A462">
        <v>5342.4000000000005</v>
      </c>
      <c r="B462">
        <v>19.57</v>
      </c>
      <c r="G462" t="s">
        <v>20</v>
      </c>
      <c r="H462" s="1">
        <v>45556</v>
      </c>
      <c r="I462" s="1">
        <v>45563</v>
      </c>
      <c r="J462">
        <f t="shared" si="8"/>
        <v>7</v>
      </c>
    </row>
    <row r="463" spans="1:10" x14ac:dyDescent="0.3">
      <c r="A463">
        <v>1618.434</v>
      </c>
      <c r="B463">
        <v>48.02</v>
      </c>
      <c r="G463" t="s">
        <v>20</v>
      </c>
      <c r="H463" s="1">
        <v>45292</v>
      </c>
      <c r="I463" s="1">
        <v>45294</v>
      </c>
      <c r="J463">
        <f t="shared" si="8"/>
        <v>2</v>
      </c>
    </row>
    <row r="464" spans="1:10" x14ac:dyDescent="0.3">
      <c r="A464">
        <v>374.33</v>
      </c>
      <c r="B464">
        <v>33.31</v>
      </c>
      <c r="G464" t="s">
        <v>23</v>
      </c>
      <c r="H464" s="1">
        <v>45659</v>
      </c>
      <c r="I464" s="1">
        <v>45669</v>
      </c>
      <c r="J464">
        <f t="shared" si="8"/>
        <v>10</v>
      </c>
    </row>
    <row r="465" spans="1:10" x14ac:dyDescent="0.3">
      <c r="A465">
        <v>6506.24</v>
      </c>
      <c r="B465">
        <v>45.03</v>
      </c>
      <c r="G465" t="s">
        <v>21</v>
      </c>
      <c r="H465" s="1">
        <v>45365</v>
      </c>
      <c r="I465" s="1">
        <v>45372</v>
      </c>
      <c r="J465">
        <f t="shared" si="8"/>
        <v>7</v>
      </c>
    </row>
    <row r="466" spans="1:10" x14ac:dyDescent="0.3">
      <c r="A466">
        <v>2579.7199999999998</v>
      </c>
      <c r="B466">
        <v>31.51</v>
      </c>
      <c r="G466" t="s">
        <v>23</v>
      </c>
      <c r="H466" s="1">
        <v>45416</v>
      </c>
      <c r="I466" s="1">
        <v>45421</v>
      </c>
      <c r="J466">
        <f t="shared" si="8"/>
        <v>5</v>
      </c>
    </row>
    <row r="467" spans="1:10" x14ac:dyDescent="0.3">
      <c r="A467">
        <v>4610.3999999999996</v>
      </c>
      <c r="B467">
        <v>38.99</v>
      </c>
      <c r="G467" t="s">
        <v>20</v>
      </c>
      <c r="H467" s="1">
        <v>45715</v>
      </c>
      <c r="I467" s="1">
        <v>45718</v>
      </c>
      <c r="J467">
        <f t="shared" si="8"/>
        <v>3</v>
      </c>
    </row>
    <row r="468" spans="1:10" x14ac:dyDescent="0.3">
      <c r="A468">
        <v>1616.6659999999999</v>
      </c>
      <c r="B468">
        <v>11.6</v>
      </c>
      <c r="G468" t="s">
        <v>22</v>
      </c>
      <c r="H468" s="1">
        <v>45609</v>
      </c>
      <c r="I468" s="1">
        <v>45613</v>
      </c>
      <c r="J468">
        <f t="shared" si="8"/>
        <v>4</v>
      </c>
    </row>
    <row r="469" spans="1:10" x14ac:dyDescent="0.3">
      <c r="A469">
        <v>1096.038</v>
      </c>
      <c r="B469">
        <v>43.55</v>
      </c>
      <c r="G469" t="s">
        <v>23</v>
      </c>
      <c r="H469" s="1">
        <v>45230</v>
      </c>
      <c r="I469" s="1">
        <v>45240</v>
      </c>
      <c r="J469">
        <f t="shared" si="8"/>
        <v>10</v>
      </c>
    </row>
    <row r="470" spans="1:10" x14ac:dyDescent="0.3">
      <c r="A470">
        <v>2434.14</v>
      </c>
      <c r="B470">
        <v>46.1</v>
      </c>
      <c r="G470" t="s">
        <v>22</v>
      </c>
      <c r="H470" s="1">
        <v>45279</v>
      </c>
      <c r="I470" s="1">
        <v>45284</v>
      </c>
      <c r="J470">
        <f t="shared" si="8"/>
        <v>5</v>
      </c>
    </row>
    <row r="471" spans="1:10" x14ac:dyDescent="0.3">
      <c r="A471">
        <v>6771.5999999999995</v>
      </c>
      <c r="B471">
        <v>26.7</v>
      </c>
      <c r="G471" t="s">
        <v>20</v>
      </c>
      <c r="H471" s="1">
        <v>45257</v>
      </c>
      <c r="I471" s="1">
        <v>45263</v>
      </c>
      <c r="J471">
        <f t="shared" si="8"/>
        <v>6</v>
      </c>
    </row>
    <row r="472" spans="1:10" x14ac:dyDescent="0.3">
      <c r="A472">
        <v>839.952</v>
      </c>
      <c r="B472">
        <v>45.33</v>
      </c>
      <c r="G472" t="s">
        <v>19</v>
      </c>
      <c r="H472" s="1">
        <v>45153</v>
      </c>
      <c r="I472" s="1">
        <v>45156</v>
      </c>
      <c r="J472">
        <f t="shared" si="8"/>
        <v>3</v>
      </c>
    </row>
    <row r="473" spans="1:10" x14ac:dyDescent="0.3">
      <c r="A473">
        <v>11077</v>
      </c>
      <c r="B473">
        <v>33.21</v>
      </c>
      <c r="G473" t="s">
        <v>23</v>
      </c>
      <c r="H473" s="1">
        <v>44942</v>
      </c>
      <c r="I473" s="1">
        <v>44950</v>
      </c>
      <c r="J473">
        <f t="shared" si="8"/>
        <v>8</v>
      </c>
    </row>
    <row r="474" spans="1:10" x14ac:dyDescent="0.3">
      <c r="A474">
        <v>949.68900000000008</v>
      </c>
      <c r="B474">
        <v>48.21</v>
      </c>
      <c r="G474" t="s">
        <v>22</v>
      </c>
      <c r="H474" s="1">
        <v>45716</v>
      </c>
      <c r="I474" s="1">
        <v>45724</v>
      </c>
      <c r="J474">
        <f t="shared" si="8"/>
        <v>8</v>
      </c>
    </row>
    <row r="475" spans="1:10" x14ac:dyDescent="0.3">
      <c r="A475">
        <v>1065.02</v>
      </c>
      <c r="B475">
        <v>49.67</v>
      </c>
      <c r="G475" t="s">
        <v>23</v>
      </c>
      <c r="H475" s="1">
        <v>45258</v>
      </c>
      <c r="I475" s="1">
        <v>45261</v>
      </c>
      <c r="J475">
        <f t="shared" si="8"/>
        <v>3</v>
      </c>
    </row>
    <row r="476" spans="1:10" x14ac:dyDescent="0.3">
      <c r="A476">
        <v>241.37100000000001</v>
      </c>
      <c r="B476">
        <v>9.48</v>
      </c>
      <c r="G476" t="s">
        <v>23</v>
      </c>
      <c r="H476" s="1">
        <v>45264</v>
      </c>
      <c r="I476" s="1">
        <v>45273</v>
      </c>
      <c r="J476">
        <f t="shared" si="8"/>
        <v>9</v>
      </c>
    </row>
    <row r="477" spans="1:10" x14ac:dyDescent="0.3">
      <c r="A477">
        <v>6251.7924999999996</v>
      </c>
      <c r="B477">
        <v>18.850000000000001</v>
      </c>
      <c r="G477" t="s">
        <v>20</v>
      </c>
      <c r="H477" s="1">
        <v>45464</v>
      </c>
      <c r="I477" s="1">
        <v>45472</v>
      </c>
      <c r="J477">
        <f t="shared" si="8"/>
        <v>8</v>
      </c>
    </row>
    <row r="478" spans="1:10" x14ac:dyDescent="0.3">
      <c r="A478">
        <v>1550.3040000000001</v>
      </c>
      <c r="B478">
        <v>43.28</v>
      </c>
      <c r="G478" t="s">
        <v>19</v>
      </c>
      <c r="H478" s="1">
        <v>45733</v>
      </c>
      <c r="I478" s="1">
        <v>45742</v>
      </c>
      <c r="J478">
        <f t="shared" si="8"/>
        <v>9</v>
      </c>
    </row>
    <row r="479" spans="1:10" x14ac:dyDescent="0.3">
      <c r="A479">
        <v>6545.3760000000002</v>
      </c>
      <c r="B479">
        <v>20.55</v>
      </c>
      <c r="G479" t="s">
        <v>22</v>
      </c>
      <c r="H479" s="1">
        <v>45155</v>
      </c>
      <c r="I479" s="1">
        <v>45157</v>
      </c>
      <c r="J479">
        <f t="shared" si="8"/>
        <v>2</v>
      </c>
    </row>
    <row r="480" spans="1:10" x14ac:dyDescent="0.3">
      <c r="A480">
        <v>4332.3609999999999</v>
      </c>
      <c r="B480">
        <v>25.33</v>
      </c>
      <c r="G480" t="s">
        <v>22</v>
      </c>
      <c r="H480" s="1">
        <v>45168</v>
      </c>
      <c r="I480" s="1">
        <v>45174</v>
      </c>
      <c r="J480">
        <f t="shared" si="8"/>
        <v>6</v>
      </c>
    </row>
    <row r="481" spans="1:10" x14ac:dyDescent="0.3">
      <c r="A481">
        <v>2858.5709999999999</v>
      </c>
      <c r="B481">
        <v>30.57</v>
      </c>
      <c r="G481" t="s">
        <v>19</v>
      </c>
      <c r="H481" s="1">
        <v>45824</v>
      </c>
      <c r="I481" s="1">
        <v>45826</v>
      </c>
      <c r="J481">
        <f t="shared" si="8"/>
        <v>2</v>
      </c>
    </row>
    <row r="482" spans="1:10" x14ac:dyDescent="0.3">
      <c r="A482">
        <v>1138.1400000000001</v>
      </c>
      <c r="B482">
        <v>26.96</v>
      </c>
      <c r="G482" t="s">
        <v>21</v>
      </c>
      <c r="H482" s="1">
        <v>45106</v>
      </c>
      <c r="I482" s="1">
        <v>45116</v>
      </c>
      <c r="J482">
        <f t="shared" si="8"/>
        <v>10</v>
      </c>
    </row>
    <row r="483" spans="1:10" x14ac:dyDescent="0.3">
      <c r="A483">
        <v>875.14</v>
      </c>
      <c r="B483">
        <v>12.45</v>
      </c>
      <c r="G483" t="s">
        <v>21</v>
      </c>
      <c r="H483" s="1">
        <v>45151</v>
      </c>
      <c r="I483" s="1">
        <v>45158</v>
      </c>
      <c r="J483">
        <f t="shared" si="8"/>
        <v>7</v>
      </c>
    </row>
    <row r="484" spans="1:10" x14ac:dyDescent="0.3">
      <c r="A484">
        <v>6977.5599999999986</v>
      </c>
      <c r="B484">
        <v>45.67</v>
      </c>
      <c r="G484" t="s">
        <v>23</v>
      </c>
      <c r="H484" s="1">
        <v>45411</v>
      </c>
      <c r="I484" s="1">
        <v>45419</v>
      </c>
      <c r="J484">
        <f t="shared" si="8"/>
        <v>8</v>
      </c>
    </row>
    <row r="485" spans="1:10" x14ac:dyDescent="0.3">
      <c r="A485">
        <v>3456.96</v>
      </c>
      <c r="B485">
        <v>42.1</v>
      </c>
      <c r="G485" t="s">
        <v>23</v>
      </c>
      <c r="H485" s="1">
        <v>45122</v>
      </c>
      <c r="I485" s="1">
        <v>45132</v>
      </c>
      <c r="J485">
        <f t="shared" si="8"/>
        <v>10</v>
      </c>
    </row>
    <row r="486" spans="1:10" x14ac:dyDescent="0.3">
      <c r="A486">
        <v>35.991</v>
      </c>
      <c r="B486">
        <v>17.62</v>
      </c>
      <c r="G486" t="s">
        <v>21</v>
      </c>
      <c r="H486" s="1">
        <v>45674</v>
      </c>
      <c r="I486" s="1">
        <v>45680</v>
      </c>
      <c r="J486">
        <f t="shared" si="8"/>
        <v>6</v>
      </c>
    </row>
    <row r="487" spans="1:10" x14ac:dyDescent="0.3">
      <c r="A487">
        <v>1377.09</v>
      </c>
      <c r="B487">
        <v>38.96</v>
      </c>
      <c r="G487" t="s">
        <v>19</v>
      </c>
      <c r="H487" s="1">
        <v>45709</v>
      </c>
      <c r="I487" s="1">
        <v>45719</v>
      </c>
      <c r="J487">
        <f t="shared" si="8"/>
        <v>10</v>
      </c>
    </row>
    <row r="488" spans="1:10" x14ac:dyDescent="0.3">
      <c r="A488">
        <v>10531</v>
      </c>
      <c r="B488">
        <v>25.64</v>
      </c>
      <c r="G488" t="s">
        <v>23</v>
      </c>
      <c r="H488" s="1">
        <v>45126</v>
      </c>
      <c r="I488" s="1">
        <v>45133</v>
      </c>
      <c r="J488">
        <f t="shared" si="8"/>
        <v>7</v>
      </c>
    </row>
    <row r="489" spans="1:10" x14ac:dyDescent="0.3">
      <c r="A489">
        <v>3550.701</v>
      </c>
      <c r="B489">
        <v>11.56</v>
      </c>
      <c r="G489" t="s">
        <v>23</v>
      </c>
      <c r="H489" s="1">
        <v>45564</v>
      </c>
      <c r="I489" s="1">
        <v>45571</v>
      </c>
      <c r="J489">
        <f t="shared" si="8"/>
        <v>7</v>
      </c>
    </row>
    <row r="490" spans="1:10" x14ac:dyDescent="0.3">
      <c r="A490">
        <v>779.875</v>
      </c>
      <c r="B490">
        <v>37.270000000000003</v>
      </c>
      <c r="G490" t="s">
        <v>19</v>
      </c>
      <c r="H490" s="1">
        <v>45582</v>
      </c>
      <c r="I490" s="1">
        <v>45586</v>
      </c>
      <c r="J490">
        <f t="shared" si="8"/>
        <v>4</v>
      </c>
    </row>
    <row r="491" spans="1:10" x14ac:dyDescent="0.3">
      <c r="A491">
        <v>184.41</v>
      </c>
      <c r="B491">
        <v>38.04</v>
      </c>
      <c r="G491" t="s">
        <v>19</v>
      </c>
      <c r="H491" s="1">
        <v>45819</v>
      </c>
      <c r="I491" s="1">
        <v>45825</v>
      </c>
      <c r="J491">
        <f t="shared" si="8"/>
        <v>6</v>
      </c>
    </row>
    <row r="492" spans="1:10" x14ac:dyDescent="0.3">
      <c r="A492">
        <v>800.44199999999989</v>
      </c>
      <c r="B492">
        <v>19.579999999999998</v>
      </c>
      <c r="G492" t="s">
        <v>23</v>
      </c>
      <c r="H492" s="1">
        <v>45310</v>
      </c>
      <c r="I492" s="1">
        <v>45320</v>
      </c>
      <c r="J492">
        <f t="shared" si="8"/>
        <v>10</v>
      </c>
    </row>
    <row r="493" spans="1:10" x14ac:dyDescent="0.3">
      <c r="A493">
        <v>4628.5304999999998</v>
      </c>
      <c r="B493">
        <v>27.37</v>
      </c>
      <c r="G493" t="s">
        <v>19</v>
      </c>
      <c r="H493" s="1">
        <v>45263</v>
      </c>
      <c r="I493" s="1">
        <v>45265</v>
      </c>
      <c r="J493">
        <f t="shared" si="8"/>
        <v>2</v>
      </c>
    </row>
    <row r="494" spans="1:10" x14ac:dyDescent="0.3">
      <c r="A494">
        <v>1409.04</v>
      </c>
      <c r="B494">
        <v>18.75</v>
      </c>
      <c r="G494" t="s">
        <v>22</v>
      </c>
      <c r="H494" s="1">
        <v>45462</v>
      </c>
      <c r="I494" s="1">
        <v>45470</v>
      </c>
      <c r="J494">
        <f t="shared" si="8"/>
        <v>8</v>
      </c>
    </row>
    <row r="495" spans="1:10" x14ac:dyDescent="0.3">
      <c r="A495">
        <v>3744.4724999999989</v>
      </c>
      <c r="B495">
        <v>11.5</v>
      </c>
      <c r="G495" t="s">
        <v>23</v>
      </c>
      <c r="H495" s="1">
        <v>45581</v>
      </c>
      <c r="I495" s="1">
        <v>45586</v>
      </c>
      <c r="J495">
        <f t="shared" si="8"/>
        <v>5</v>
      </c>
    </row>
    <row r="496" spans="1:10" x14ac:dyDescent="0.3">
      <c r="A496">
        <v>630.32599999999991</v>
      </c>
      <c r="B496">
        <v>20.45</v>
      </c>
      <c r="G496" t="s">
        <v>19</v>
      </c>
      <c r="H496" s="1">
        <v>45680</v>
      </c>
      <c r="I496" s="1">
        <v>45684</v>
      </c>
      <c r="J496">
        <f t="shared" si="8"/>
        <v>4</v>
      </c>
    </row>
    <row r="497" spans="1:10" x14ac:dyDescent="0.3">
      <c r="A497">
        <v>1188.432</v>
      </c>
      <c r="B497">
        <v>10.45</v>
      </c>
      <c r="G497" t="s">
        <v>22</v>
      </c>
      <c r="H497" s="1">
        <v>45201</v>
      </c>
      <c r="I497" s="1">
        <v>45209</v>
      </c>
      <c r="J497">
        <f t="shared" si="8"/>
        <v>8</v>
      </c>
    </row>
    <row r="498" spans="1:10" x14ac:dyDescent="0.3">
      <c r="A498">
        <v>1726.38</v>
      </c>
      <c r="B498">
        <v>32.61</v>
      </c>
      <c r="G498" t="s">
        <v>19</v>
      </c>
      <c r="H498" s="1">
        <v>45235</v>
      </c>
      <c r="I498" s="1">
        <v>45237</v>
      </c>
      <c r="J498">
        <f t="shared" si="8"/>
        <v>2</v>
      </c>
    </row>
    <row r="499" spans="1:10" x14ac:dyDescent="0.3">
      <c r="A499">
        <v>2243.748</v>
      </c>
      <c r="B499">
        <v>14.69</v>
      </c>
      <c r="G499" t="s">
        <v>20</v>
      </c>
      <c r="H499" s="1">
        <v>45095</v>
      </c>
      <c r="I499" s="1">
        <v>45100</v>
      </c>
      <c r="J499">
        <f t="shared" si="8"/>
        <v>5</v>
      </c>
    </row>
    <row r="500" spans="1:10" x14ac:dyDescent="0.3">
      <c r="A500">
        <v>464.57600000000002</v>
      </c>
      <c r="B500">
        <v>36.33</v>
      </c>
      <c r="G500" t="s">
        <v>22</v>
      </c>
      <c r="H500" s="1">
        <v>45488</v>
      </c>
      <c r="I500" s="1">
        <v>45494</v>
      </c>
      <c r="J500">
        <f t="shared" si="8"/>
        <v>6</v>
      </c>
    </row>
    <row r="501" spans="1:10" x14ac:dyDescent="0.3">
      <c r="A501">
        <v>517.37400000000002</v>
      </c>
      <c r="B501">
        <v>25.34</v>
      </c>
      <c r="G501" t="s">
        <v>22</v>
      </c>
      <c r="H501" s="1">
        <v>45457</v>
      </c>
      <c r="I501" s="1">
        <v>45466</v>
      </c>
      <c r="J501">
        <f t="shared" si="8"/>
        <v>9</v>
      </c>
    </row>
    <row r="502" spans="1:10" x14ac:dyDescent="0.3">
      <c r="A502">
        <v>5175.8625000000002</v>
      </c>
      <c r="B502">
        <v>32.04</v>
      </c>
      <c r="G502" t="s">
        <v>19</v>
      </c>
      <c r="H502" s="1">
        <v>45387</v>
      </c>
      <c r="I502" s="1">
        <v>45392</v>
      </c>
      <c r="J502">
        <f t="shared" si="8"/>
        <v>5</v>
      </c>
    </row>
    <row r="503" spans="1:10" x14ac:dyDescent="0.3">
      <c r="A503">
        <v>430.61</v>
      </c>
      <c r="B503">
        <v>14.53</v>
      </c>
      <c r="G503" t="s">
        <v>21</v>
      </c>
      <c r="H503" s="1">
        <v>44984</v>
      </c>
      <c r="I503" s="1">
        <v>44992</v>
      </c>
      <c r="J503">
        <f t="shared" si="8"/>
        <v>8</v>
      </c>
    </row>
    <row r="504" spans="1:10" x14ac:dyDescent="0.3">
      <c r="A504">
        <v>2540.25</v>
      </c>
      <c r="B504">
        <v>35.630000000000003</v>
      </c>
      <c r="G504" t="s">
        <v>23</v>
      </c>
      <c r="H504" s="1">
        <v>45138</v>
      </c>
      <c r="I504" s="1">
        <v>45147</v>
      </c>
      <c r="J504">
        <f t="shared" si="8"/>
        <v>9</v>
      </c>
    </row>
    <row r="505" spans="1:10" x14ac:dyDescent="0.3">
      <c r="A505">
        <v>5778.8185000000003</v>
      </c>
      <c r="B505">
        <v>33.9</v>
      </c>
      <c r="G505" t="s">
        <v>23</v>
      </c>
      <c r="H505" s="1">
        <v>44988</v>
      </c>
      <c r="I505" s="1">
        <v>44995</v>
      </c>
      <c r="J505">
        <f t="shared" si="8"/>
        <v>7</v>
      </c>
    </row>
    <row r="506" spans="1:10" x14ac:dyDescent="0.3">
      <c r="A506">
        <v>3981.8249999999998</v>
      </c>
      <c r="B506">
        <v>23.26</v>
      </c>
      <c r="G506" t="s">
        <v>20</v>
      </c>
      <c r="H506" s="1">
        <v>45042</v>
      </c>
      <c r="I506" s="1">
        <v>45044</v>
      </c>
      <c r="J506">
        <f t="shared" si="8"/>
        <v>2</v>
      </c>
    </row>
    <row r="507" spans="1:10" x14ac:dyDescent="0.3">
      <c r="A507">
        <v>2965.7339999999999</v>
      </c>
      <c r="B507">
        <v>12.29</v>
      </c>
      <c r="G507" t="s">
        <v>19</v>
      </c>
      <c r="H507" s="1">
        <v>45584</v>
      </c>
      <c r="I507" s="1">
        <v>45592</v>
      </c>
      <c r="J507">
        <f t="shared" si="8"/>
        <v>8</v>
      </c>
    </row>
    <row r="508" spans="1:10" x14ac:dyDescent="0.3">
      <c r="A508">
        <v>6825.1684999999998</v>
      </c>
      <c r="B508">
        <v>22.63</v>
      </c>
      <c r="G508" t="s">
        <v>22</v>
      </c>
      <c r="H508" s="1">
        <v>45473</v>
      </c>
      <c r="I508" s="1">
        <v>45477</v>
      </c>
      <c r="J508">
        <f t="shared" si="8"/>
        <v>4</v>
      </c>
    </row>
    <row r="509" spans="1:10" x14ac:dyDescent="0.3">
      <c r="A509">
        <v>5371.47</v>
      </c>
      <c r="B509">
        <v>6.43</v>
      </c>
      <c r="G509" t="s">
        <v>23</v>
      </c>
      <c r="H509" s="1">
        <v>45576</v>
      </c>
      <c r="I509" s="1">
        <v>45584</v>
      </c>
      <c r="J509">
        <f t="shared" si="8"/>
        <v>8</v>
      </c>
    </row>
    <row r="510" spans="1:10" x14ac:dyDescent="0.3">
      <c r="A510">
        <v>2079.54</v>
      </c>
      <c r="B510">
        <v>24.53</v>
      </c>
      <c r="G510" t="s">
        <v>22</v>
      </c>
      <c r="H510" s="1">
        <v>45822</v>
      </c>
      <c r="I510" s="1">
        <v>45831</v>
      </c>
      <c r="J510">
        <f t="shared" si="8"/>
        <v>9</v>
      </c>
    </row>
    <row r="511" spans="1:10" x14ac:dyDescent="0.3">
      <c r="A511">
        <v>8107.1280000000006</v>
      </c>
      <c r="B511">
        <v>8.8699999999999992</v>
      </c>
      <c r="G511" t="s">
        <v>19</v>
      </c>
      <c r="H511" s="1">
        <v>45648</v>
      </c>
      <c r="I511" s="1">
        <v>45656</v>
      </c>
      <c r="J511">
        <f t="shared" si="8"/>
        <v>8</v>
      </c>
    </row>
    <row r="512" spans="1:10" x14ac:dyDescent="0.3">
      <c r="A512">
        <v>1910.85</v>
      </c>
      <c r="B512">
        <v>17.72</v>
      </c>
      <c r="G512" t="s">
        <v>23</v>
      </c>
      <c r="H512" s="1">
        <v>45404</v>
      </c>
      <c r="I512" s="1">
        <v>45407</v>
      </c>
      <c r="J512">
        <f t="shared" si="8"/>
        <v>3</v>
      </c>
    </row>
    <row r="513" spans="1:10" x14ac:dyDescent="0.3">
      <c r="A513">
        <v>932.12700000000007</v>
      </c>
      <c r="B513">
        <v>45.89</v>
      </c>
      <c r="G513" t="s">
        <v>21</v>
      </c>
      <c r="H513" s="1">
        <v>45682</v>
      </c>
      <c r="I513" s="1">
        <v>45686</v>
      </c>
      <c r="J513">
        <f t="shared" si="8"/>
        <v>4</v>
      </c>
    </row>
    <row r="514" spans="1:10" x14ac:dyDescent="0.3">
      <c r="A514">
        <v>1148.0525</v>
      </c>
      <c r="B514">
        <v>15.74</v>
      </c>
      <c r="G514" t="s">
        <v>21</v>
      </c>
      <c r="H514" s="1">
        <v>45609</v>
      </c>
      <c r="I514" s="1">
        <v>45615</v>
      </c>
      <c r="J514">
        <f t="shared" si="8"/>
        <v>6</v>
      </c>
    </row>
    <row r="515" spans="1:10" x14ac:dyDescent="0.3">
      <c r="A515">
        <v>816.255</v>
      </c>
      <c r="B515">
        <v>42.07</v>
      </c>
      <c r="G515" t="s">
        <v>19</v>
      </c>
      <c r="H515" s="1">
        <v>45001</v>
      </c>
      <c r="I515" s="1">
        <v>45006</v>
      </c>
      <c r="J515">
        <f t="shared" ref="J515:J578" si="9">I515-H515</f>
        <v>5</v>
      </c>
    </row>
    <row r="516" spans="1:10" x14ac:dyDescent="0.3">
      <c r="A516">
        <v>6719.2739999999994</v>
      </c>
      <c r="B516">
        <v>28.55</v>
      </c>
      <c r="G516" t="s">
        <v>21</v>
      </c>
      <c r="H516" s="1">
        <v>45052</v>
      </c>
      <c r="I516" s="1">
        <v>45061</v>
      </c>
      <c r="J516">
        <f t="shared" si="9"/>
        <v>9</v>
      </c>
    </row>
    <row r="517" spans="1:10" x14ac:dyDescent="0.3">
      <c r="A517">
        <v>982.4</v>
      </c>
      <c r="B517">
        <v>21.01</v>
      </c>
      <c r="G517" t="s">
        <v>19</v>
      </c>
      <c r="H517" s="1">
        <v>45611</v>
      </c>
      <c r="I517" s="1">
        <v>45613</v>
      </c>
      <c r="J517">
        <f t="shared" si="9"/>
        <v>2</v>
      </c>
    </row>
    <row r="518" spans="1:10" x14ac:dyDescent="0.3">
      <c r="A518">
        <v>1297.32</v>
      </c>
      <c r="B518">
        <v>38.22</v>
      </c>
      <c r="G518" t="s">
        <v>22</v>
      </c>
      <c r="H518" s="1">
        <v>45471</v>
      </c>
      <c r="I518" s="1">
        <v>45478</v>
      </c>
      <c r="J518">
        <f t="shared" si="9"/>
        <v>7</v>
      </c>
    </row>
    <row r="519" spans="1:10" x14ac:dyDescent="0.3">
      <c r="A519">
        <v>578.55250000000001</v>
      </c>
      <c r="B519">
        <v>10.02</v>
      </c>
      <c r="G519" t="s">
        <v>22</v>
      </c>
      <c r="H519" s="1">
        <v>45788</v>
      </c>
      <c r="I519" s="1">
        <v>45797</v>
      </c>
      <c r="J519">
        <f t="shared" si="9"/>
        <v>9</v>
      </c>
    </row>
    <row r="520" spans="1:10" x14ac:dyDescent="0.3">
      <c r="A520">
        <v>2201.085</v>
      </c>
      <c r="B520">
        <v>44.73</v>
      </c>
      <c r="G520" t="s">
        <v>22</v>
      </c>
      <c r="H520" s="1">
        <v>44983</v>
      </c>
      <c r="I520" s="1">
        <v>44989</v>
      </c>
      <c r="J520">
        <f t="shared" si="9"/>
        <v>6</v>
      </c>
    </row>
    <row r="521" spans="1:10" x14ac:dyDescent="0.3">
      <c r="A521">
        <v>1657.44</v>
      </c>
      <c r="B521">
        <v>8.02</v>
      </c>
      <c r="G521" t="s">
        <v>20</v>
      </c>
      <c r="H521" s="1">
        <v>45412</v>
      </c>
      <c r="I521" s="1">
        <v>45419</v>
      </c>
      <c r="J521">
        <f t="shared" si="9"/>
        <v>7</v>
      </c>
    </row>
    <row r="522" spans="1:10" x14ac:dyDescent="0.3">
      <c r="A522">
        <v>705.12599999999998</v>
      </c>
      <c r="B522">
        <v>31.4</v>
      </c>
      <c r="G522" t="s">
        <v>19</v>
      </c>
      <c r="H522" s="1">
        <v>45727</v>
      </c>
      <c r="I522" s="1">
        <v>45729</v>
      </c>
      <c r="J522">
        <f t="shared" si="9"/>
        <v>2</v>
      </c>
    </row>
    <row r="523" spans="1:10" x14ac:dyDescent="0.3">
      <c r="A523">
        <v>5558.2979999999998</v>
      </c>
      <c r="B523">
        <v>37.33</v>
      </c>
      <c r="G523" t="s">
        <v>19</v>
      </c>
      <c r="H523" s="1">
        <v>45838</v>
      </c>
      <c r="I523" s="1">
        <v>45848</v>
      </c>
      <c r="J523">
        <f t="shared" si="9"/>
        <v>10</v>
      </c>
    </row>
    <row r="524" spans="1:10" x14ac:dyDescent="0.3">
      <c r="A524">
        <v>8118.7</v>
      </c>
      <c r="B524">
        <v>25.19</v>
      </c>
      <c r="G524" t="s">
        <v>21</v>
      </c>
      <c r="H524" s="1">
        <v>45445</v>
      </c>
      <c r="I524" s="1">
        <v>45451</v>
      </c>
      <c r="J524">
        <f t="shared" si="9"/>
        <v>6</v>
      </c>
    </row>
    <row r="525" spans="1:10" x14ac:dyDescent="0.3">
      <c r="A525">
        <v>8009.311999999999</v>
      </c>
      <c r="B525">
        <v>7.89</v>
      </c>
      <c r="G525" t="s">
        <v>20</v>
      </c>
      <c r="H525" s="1">
        <v>45536</v>
      </c>
      <c r="I525" s="1">
        <v>45540</v>
      </c>
      <c r="J525">
        <f t="shared" si="9"/>
        <v>4</v>
      </c>
    </row>
    <row r="526" spans="1:10" x14ac:dyDescent="0.3">
      <c r="A526">
        <v>2319.0300000000002</v>
      </c>
      <c r="B526">
        <v>47.18</v>
      </c>
      <c r="G526" t="s">
        <v>20</v>
      </c>
      <c r="H526" s="1">
        <v>45668</v>
      </c>
      <c r="I526" s="1">
        <v>45675</v>
      </c>
      <c r="J526">
        <f t="shared" si="9"/>
        <v>7</v>
      </c>
    </row>
    <row r="527" spans="1:10" x14ac:dyDescent="0.3">
      <c r="A527">
        <v>404.6</v>
      </c>
      <c r="B527">
        <v>18.95</v>
      </c>
      <c r="G527" t="s">
        <v>20</v>
      </c>
      <c r="H527" s="1">
        <v>45747</v>
      </c>
      <c r="I527" s="1">
        <v>45750</v>
      </c>
      <c r="J527">
        <f t="shared" si="9"/>
        <v>3</v>
      </c>
    </row>
    <row r="528" spans="1:10" x14ac:dyDescent="0.3">
      <c r="A528">
        <v>1836.38</v>
      </c>
      <c r="B528">
        <v>23.68</v>
      </c>
      <c r="G528" t="s">
        <v>20</v>
      </c>
      <c r="H528" s="1">
        <v>45624</v>
      </c>
      <c r="I528" s="1">
        <v>45631</v>
      </c>
      <c r="J528">
        <f t="shared" si="9"/>
        <v>7</v>
      </c>
    </row>
    <row r="529" spans="1:10" x14ac:dyDescent="0.3">
      <c r="A529">
        <v>639.15750000000003</v>
      </c>
      <c r="B529">
        <v>44.46</v>
      </c>
      <c r="G529" t="s">
        <v>21</v>
      </c>
      <c r="H529" s="1">
        <v>45112</v>
      </c>
      <c r="I529" s="1">
        <v>45114</v>
      </c>
      <c r="J529">
        <f t="shared" si="9"/>
        <v>2</v>
      </c>
    </row>
    <row r="530" spans="1:10" x14ac:dyDescent="0.3">
      <c r="A530">
        <v>5436.1184999999996</v>
      </c>
      <c r="B530">
        <v>5.71</v>
      </c>
      <c r="G530" t="s">
        <v>23</v>
      </c>
      <c r="H530" s="1">
        <v>45589</v>
      </c>
      <c r="I530" s="1">
        <v>45599</v>
      </c>
      <c r="J530">
        <f t="shared" si="9"/>
        <v>10</v>
      </c>
    </row>
    <row r="531" spans="1:10" x14ac:dyDescent="0.3">
      <c r="A531">
        <v>193.977</v>
      </c>
      <c r="B531">
        <v>11.39</v>
      </c>
      <c r="G531" t="s">
        <v>21</v>
      </c>
      <c r="H531" s="1">
        <v>45755</v>
      </c>
      <c r="I531" s="1">
        <v>45763</v>
      </c>
      <c r="J531">
        <f t="shared" si="9"/>
        <v>8</v>
      </c>
    </row>
    <row r="532" spans="1:10" x14ac:dyDescent="0.3">
      <c r="A532">
        <v>477.36</v>
      </c>
      <c r="B532">
        <v>38.020000000000003</v>
      </c>
      <c r="G532" t="s">
        <v>19</v>
      </c>
      <c r="H532" s="1">
        <v>45448</v>
      </c>
      <c r="I532" s="1">
        <v>45453</v>
      </c>
      <c r="J532">
        <f t="shared" si="9"/>
        <v>5</v>
      </c>
    </row>
    <row r="533" spans="1:10" x14ac:dyDescent="0.3">
      <c r="A533">
        <v>2634.32</v>
      </c>
      <c r="B533">
        <v>6.83</v>
      </c>
      <c r="G533" t="s">
        <v>23</v>
      </c>
      <c r="H533" s="1">
        <v>45680</v>
      </c>
      <c r="I533" s="1">
        <v>45686</v>
      </c>
      <c r="J533">
        <f t="shared" si="9"/>
        <v>6</v>
      </c>
    </row>
    <row r="534" spans="1:10" x14ac:dyDescent="0.3">
      <c r="A534">
        <v>5006.9844999999987</v>
      </c>
      <c r="B534">
        <v>8.06</v>
      </c>
      <c r="G534" t="s">
        <v>22</v>
      </c>
      <c r="H534" s="1">
        <v>45600</v>
      </c>
      <c r="I534" s="1">
        <v>45608</v>
      </c>
      <c r="J534">
        <f t="shared" si="9"/>
        <v>8</v>
      </c>
    </row>
    <row r="535" spans="1:10" x14ac:dyDescent="0.3">
      <c r="A535">
        <v>2261.6035000000002</v>
      </c>
      <c r="B535">
        <v>6.76</v>
      </c>
      <c r="G535" t="s">
        <v>23</v>
      </c>
      <c r="H535" s="1">
        <v>45292</v>
      </c>
      <c r="I535" s="1">
        <v>45296</v>
      </c>
      <c r="J535">
        <f t="shared" si="9"/>
        <v>4</v>
      </c>
    </row>
    <row r="536" spans="1:10" x14ac:dyDescent="0.3">
      <c r="A536">
        <v>750.33</v>
      </c>
      <c r="B536">
        <v>36.35</v>
      </c>
      <c r="G536" t="s">
        <v>22</v>
      </c>
      <c r="H536" s="1">
        <v>45391</v>
      </c>
      <c r="I536" s="1">
        <v>45399</v>
      </c>
      <c r="J536">
        <f t="shared" si="9"/>
        <v>8</v>
      </c>
    </row>
    <row r="537" spans="1:10" x14ac:dyDescent="0.3">
      <c r="A537">
        <v>6321.84</v>
      </c>
      <c r="B537">
        <v>29.75</v>
      </c>
      <c r="G537" t="s">
        <v>21</v>
      </c>
      <c r="H537" s="1">
        <v>45674</v>
      </c>
      <c r="I537" s="1">
        <v>45682</v>
      </c>
      <c r="J537">
        <f t="shared" si="9"/>
        <v>8</v>
      </c>
    </row>
    <row r="538" spans="1:10" x14ac:dyDescent="0.3">
      <c r="A538">
        <v>10351.799999999999</v>
      </c>
      <c r="B538">
        <v>35.32</v>
      </c>
      <c r="G538" t="s">
        <v>19</v>
      </c>
      <c r="H538" s="1">
        <v>45557</v>
      </c>
      <c r="I538" s="1">
        <v>45564</v>
      </c>
      <c r="J538">
        <f t="shared" si="9"/>
        <v>7</v>
      </c>
    </row>
    <row r="539" spans="1:10" x14ac:dyDescent="0.3">
      <c r="A539">
        <v>2343.7440000000001</v>
      </c>
      <c r="B539">
        <v>45.59</v>
      </c>
      <c r="G539" t="s">
        <v>19</v>
      </c>
      <c r="H539" s="1">
        <v>44946</v>
      </c>
      <c r="I539" s="1">
        <v>44951</v>
      </c>
      <c r="J539">
        <f t="shared" si="9"/>
        <v>5</v>
      </c>
    </row>
    <row r="540" spans="1:10" x14ac:dyDescent="0.3">
      <c r="A540">
        <v>1869.9659999999999</v>
      </c>
      <c r="B540">
        <v>36.04</v>
      </c>
      <c r="G540" t="s">
        <v>21</v>
      </c>
      <c r="H540" s="1">
        <v>45303</v>
      </c>
      <c r="I540" s="1">
        <v>45313</v>
      </c>
      <c r="J540">
        <f t="shared" si="9"/>
        <v>10</v>
      </c>
    </row>
    <row r="541" spans="1:10" x14ac:dyDescent="0.3">
      <c r="A541">
        <v>952.47</v>
      </c>
      <c r="B541">
        <v>36.71</v>
      </c>
      <c r="G541" t="s">
        <v>22</v>
      </c>
      <c r="H541" s="1">
        <v>45390</v>
      </c>
      <c r="I541" s="1">
        <v>45397</v>
      </c>
      <c r="J541">
        <f t="shared" si="9"/>
        <v>7</v>
      </c>
    </row>
    <row r="542" spans="1:10" x14ac:dyDescent="0.3">
      <c r="A542">
        <v>4990.32</v>
      </c>
      <c r="B542">
        <v>48.26</v>
      </c>
      <c r="G542" t="s">
        <v>22</v>
      </c>
      <c r="H542" s="1">
        <v>45043</v>
      </c>
      <c r="I542" s="1">
        <v>45047</v>
      </c>
      <c r="J542">
        <f t="shared" si="9"/>
        <v>4</v>
      </c>
    </row>
    <row r="543" spans="1:10" x14ac:dyDescent="0.3">
      <c r="A543">
        <v>1278.2639999999999</v>
      </c>
      <c r="B543">
        <v>44.99</v>
      </c>
      <c r="G543" t="s">
        <v>21</v>
      </c>
      <c r="H543" s="1">
        <v>45490</v>
      </c>
      <c r="I543" s="1">
        <v>45498</v>
      </c>
      <c r="J543">
        <f t="shared" si="9"/>
        <v>8</v>
      </c>
    </row>
    <row r="544" spans="1:10" x14ac:dyDescent="0.3">
      <c r="A544">
        <v>6792.94</v>
      </c>
      <c r="B544">
        <v>41.72</v>
      </c>
      <c r="G544" t="s">
        <v>22</v>
      </c>
      <c r="H544" s="1">
        <v>45339</v>
      </c>
      <c r="I544" s="1">
        <v>45345</v>
      </c>
      <c r="J544">
        <f t="shared" si="9"/>
        <v>6</v>
      </c>
    </row>
    <row r="545" spans="1:10" x14ac:dyDescent="0.3">
      <c r="A545">
        <v>3184.3620000000001</v>
      </c>
      <c r="B545">
        <v>41.87</v>
      </c>
      <c r="G545" t="s">
        <v>20</v>
      </c>
      <c r="H545" s="1">
        <v>45316</v>
      </c>
      <c r="I545" s="1">
        <v>45324</v>
      </c>
      <c r="J545">
        <f t="shared" si="9"/>
        <v>8</v>
      </c>
    </row>
    <row r="546" spans="1:10" x14ac:dyDescent="0.3">
      <c r="A546">
        <v>983.71</v>
      </c>
      <c r="B546">
        <v>24.53</v>
      </c>
      <c r="G546" t="s">
        <v>22</v>
      </c>
      <c r="H546" s="1">
        <v>45375</v>
      </c>
      <c r="I546" s="1">
        <v>45384</v>
      </c>
      <c r="J546">
        <f t="shared" si="9"/>
        <v>9</v>
      </c>
    </row>
    <row r="547" spans="1:10" x14ac:dyDescent="0.3">
      <c r="A547">
        <v>4661.5275000000001</v>
      </c>
      <c r="B547">
        <v>35.840000000000003</v>
      </c>
      <c r="G547" t="s">
        <v>21</v>
      </c>
      <c r="H547" s="1">
        <v>45102</v>
      </c>
      <c r="I547" s="1">
        <v>45104</v>
      </c>
      <c r="J547">
        <f t="shared" si="9"/>
        <v>2</v>
      </c>
    </row>
    <row r="548" spans="1:10" x14ac:dyDescent="0.3">
      <c r="A548">
        <v>6017.4900000000007</v>
      </c>
      <c r="B548">
        <v>22.05</v>
      </c>
      <c r="G548" t="s">
        <v>20</v>
      </c>
      <c r="H548" s="1">
        <v>45033</v>
      </c>
      <c r="I548" s="1">
        <v>45036</v>
      </c>
      <c r="J548">
        <f t="shared" si="9"/>
        <v>3</v>
      </c>
    </row>
    <row r="549" spans="1:10" x14ac:dyDescent="0.3">
      <c r="A549">
        <v>4106.34</v>
      </c>
      <c r="B549">
        <v>21.61</v>
      </c>
      <c r="G549" t="s">
        <v>19</v>
      </c>
      <c r="H549" s="1">
        <v>45105</v>
      </c>
      <c r="I549" s="1">
        <v>45107</v>
      </c>
      <c r="J549">
        <f t="shared" si="9"/>
        <v>2</v>
      </c>
    </row>
    <row r="550" spans="1:10" x14ac:dyDescent="0.3">
      <c r="A550">
        <v>3377.8150000000001</v>
      </c>
      <c r="B550">
        <v>25.27</v>
      </c>
      <c r="G550" t="s">
        <v>22</v>
      </c>
      <c r="H550" s="1">
        <v>45388</v>
      </c>
      <c r="I550" s="1">
        <v>45398</v>
      </c>
      <c r="J550">
        <f t="shared" si="9"/>
        <v>10</v>
      </c>
    </row>
    <row r="551" spans="1:10" x14ac:dyDescent="0.3">
      <c r="A551">
        <v>196.7</v>
      </c>
      <c r="B551">
        <v>28.65</v>
      </c>
      <c r="G551" t="s">
        <v>20</v>
      </c>
      <c r="H551" s="1">
        <v>45705</v>
      </c>
      <c r="I551" s="1">
        <v>45707</v>
      </c>
      <c r="J551">
        <f t="shared" si="9"/>
        <v>2</v>
      </c>
    </row>
    <row r="552" spans="1:10" x14ac:dyDescent="0.3">
      <c r="A552">
        <v>3490.02</v>
      </c>
      <c r="B552">
        <v>39.4</v>
      </c>
      <c r="G552" t="s">
        <v>20</v>
      </c>
      <c r="H552" s="1">
        <v>44934</v>
      </c>
      <c r="I552" s="1">
        <v>44937</v>
      </c>
      <c r="J552">
        <f t="shared" si="9"/>
        <v>3</v>
      </c>
    </row>
    <row r="553" spans="1:10" x14ac:dyDescent="0.3">
      <c r="A553">
        <v>548.90049999999997</v>
      </c>
      <c r="B553">
        <v>48.33</v>
      </c>
      <c r="G553" t="s">
        <v>20</v>
      </c>
      <c r="H553" s="1">
        <v>45281</v>
      </c>
      <c r="I553" s="1">
        <v>45291</v>
      </c>
      <c r="J553">
        <f t="shared" si="9"/>
        <v>10</v>
      </c>
    </row>
    <row r="554" spans="1:10" x14ac:dyDescent="0.3">
      <c r="A554">
        <v>4978.6650000000009</v>
      </c>
      <c r="B554">
        <v>16.899999999999999</v>
      </c>
      <c r="G554" t="s">
        <v>21</v>
      </c>
      <c r="H554" s="1">
        <v>45486</v>
      </c>
      <c r="I554" s="1">
        <v>45488</v>
      </c>
      <c r="J554">
        <f t="shared" si="9"/>
        <v>2</v>
      </c>
    </row>
    <row r="555" spans="1:10" x14ac:dyDescent="0.3">
      <c r="A555">
        <v>190.60400000000001</v>
      </c>
      <c r="B555">
        <v>10.77</v>
      </c>
      <c r="G555" t="s">
        <v>23</v>
      </c>
      <c r="H555" s="1">
        <v>45374</v>
      </c>
      <c r="I555" s="1">
        <v>45383</v>
      </c>
      <c r="J555">
        <f t="shared" si="9"/>
        <v>9</v>
      </c>
    </row>
    <row r="556" spans="1:10" x14ac:dyDescent="0.3">
      <c r="A556">
        <v>109.55</v>
      </c>
      <c r="B556">
        <v>13.28</v>
      </c>
      <c r="G556" t="s">
        <v>23</v>
      </c>
      <c r="H556" s="1">
        <v>45370</v>
      </c>
      <c r="I556" s="1">
        <v>45376</v>
      </c>
      <c r="J556">
        <f t="shared" si="9"/>
        <v>6</v>
      </c>
    </row>
    <row r="557" spans="1:10" x14ac:dyDescent="0.3">
      <c r="A557">
        <v>3427.65</v>
      </c>
      <c r="B557">
        <v>33.4</v>
      </c>
      <c r="G557" t="s">
        <v>22</v>
      </c>
      <c r="H557" s="1">
        <v>45797</v>
      </c>
      <c r="I557" s="1">
        <v>45806</v>
      </c>
      <c r="J557">
        <f t="shared" si="9"/>
        <v>9</v>
      </c>
    </row>
    <row r="558" spans="1:10" x14ac:dyDescent="0.3">
      <c r="A558">
        <v>6459.31</v>
      </c>
      <c r="B558">
        <v>34.32</v>
      </c>
      <c r="G558" t="s">
        <v>20</v>
      </c>
      <c r="H558" s="1">
        <v>45676</v>
      </c>
      <c r="I558" s="1">
        <v>45683</v>
      </c>
      <c r="J558">
        <f t="shared" si="9"/>
        <v>7</v>
      </c>
    </row>
    <row r="559" spans="1:10" x14ac:dyDescent="0.3">
      <c r="A559">
        <v>8480.0249999999996</v>
      </c>
      <c r="B559">
        <v>8.66</v>
      </c>
      <c r="G559" t="s">
        <v>20</v>
      </c>
      <c r="H559" s="1">
        <v>45074</v>
      </c>
      <c r="I559" s="1">
        <v>45078</v>
      </c>
      <c r="J559">
        <f t="shared" si="9"/>
        <v>4</v>
      </c>
    </row>
    <row r="560" spans="1:10" x14ac:dyDescent="0.3">
      <c r="A560">
        <v>1046.0864999999999</v>
      </c>
      <c r="B560">
        <v>6.04</v>
      </c>
      <c r="G560" t="s">
        <v>19</v>
      </c>
      <c r="H560" s="1">
        <v>45227</v>
      </c>
      <c r="I560" s="1">
        <v>45233</v>
      </c>
      <c r="J560">
        <f t="shared" si="9"/>
        <v>6</v>
      </c>
    </row>
    <row r="561" spans="1:10" x14ac:dyDescent="0.3">
      <c r="A561">
        <v>496.15</v>
      </c>
      <c r="B561">
        <v>37.659999999999997</v>
      </c>
      <c r="G561" t="s">
        <v>23</v>
      </c>
      <c r="H561" s="1">
        <v>45255</v>
      </c>
      <c r="I561" s="1">
        <v>45262</v>
      </c>
      <c r="J561">
        <f t="shared" si="9"/>
        <v>7</v>
      </c>
    </row>
    <row r="562" spans="1:10" x14ac:dyDescent="0.3">
      <c r="A562">
        <v>4528.62</v>
      </c>
      <c r="B562">
        <v>46.02</v>
      </c>
      <c r="G562" t="s">
        <v>20</v>
      </c>
      <c r="H562" s="1">
        <v>45613</v>
      </c>
      <c r="I562" s="1">
        <v>45620</v>
      </c>
      <c r="J562">
        <f t="shared" si="9"/>
        <v>7</v>
      </c>
    </row>
    <row r="563" spans="1:10" x14ac:dyDescent="0.3">
      <c r="A563">
        <v>2244.2294999999999</v>
      </c>
      <c r="B563">
        <v>27.1</v>
      </c>
      <c r="G563" t="s">
        <v>22</v>
      </c>
      <c r="H563" s="1">
        <v>45315</v>
      </c>
      <c r="I563" s="1">
        <v>45320</v>
      </c>
      <c r="J563">
        <f t="shared" si="9"/>
        <v>5</v>
      </c>
    </row>
    <row r="564" spans="1:10" x14ac:dyDescent="0.3">
      <c r="A564">
        <v>1807.5505000000001</v>
      </c>
      <c r="B564">
        <v>38.85</v>
      </c>
      <c r="G564" t="s">
        <v>21</v>
      </c>
      <c r="H564" s="1">
        <v>45096</v>
      </c>
      <c r="I564" s="1">
        <v>45106</v>
      </c>
      <c r="J564">
        <f t="shared" si="9"/>
        <v>10</v>
      </c>
    </row>
    <row r="565" spans="1:10" x14ac:dyDescent="0.3">
      <c r="A565">
        <v>4483.75</v>
      </c>
      <c r="B565">
        <v>12.97</v>
      </c>
      <c r="G565" t="s">
        <v>19</v>
      </c>
      <c r="H565" s="1">
        <v>45670</v>
      </c>
      <c r="I565" s="1">
        <v>45675</v>
      </c>
      <c r="J565">
        <f t="shared" si="9"/>
        <v>5</v>
      </c>
    </row>
    <row r="566" spans="1:10" x14ac:dyDescent="0.3">
      <c r="A566">
        <v>647.71199999999999</v>
      </c>
      <c r="B566">
        <v>35.26</v>
      </c>
      <c r="G566" t="s">
        <v>19</v>
      </c>
      <c r="H566" s="1">
        <v>45315</v>
      </c>
      <c r="I566" s="1">
        <v>45323</v>
      </c>
      <c r="J566">
        <f t="shared" si="9"/>
        <v>8</v>
      </c>
    </row>
    <row r="567" spans="1:10" x14ac:dyDescent="0.3">
      <c r="A567">
        <v>528</v>
      </c>
      <c r="B567">
        <v>26.73</v>
      </c>
      <c r="G567" t="s">
        <v>20</v>
      </c>
      <c r="H567" s="1">
        <v>45663</v>
      </c>
      <c r="I567" s="1">
        <v>45671</v>
      </c>
      <c r="J567">
        <f t="shared" si="9"/>
        <v>8</v>
      </c>
    </row>
    <row r="568" spans="1:10" x14ac:dyDescent="0.3">
      <c r="A568">
        <v>1535.086</v>
      </c>
      <c r="B568">
        <v>39.92</v>
      </c>
      <c r="G568" t="s">
        <v>22</v>
      </c>
      <c r="H568" s="1">
        <v>45659</v>
      </c>
      <c r="I568" s="1">
        <v>45666</v>
      </c>
      <c r="J568">
        <f t="shared" si="9"/>
        <v>7</v>
      </c>
    </row>
    <row r="569" spans="1:10" x14ac:dyDescent="0.3">
      <c r="A569">
        <v>309.45600000000002</v>
      </c>
      <c r="B569">
        <v>32.119999999999997</v>
      </c>
      <c r="G569" t="s">
        <v>21</v>
      </c>
      <c r="H569" s="1">
        <v>44979</v>
      </c>
      <c r="I569" s="1">
        <v>44988</v>
      </c>
      <c r="J569">
        <f t="shared" si="9"/>
        <v>9</v>
      </c>
    </row>
    <row r="570" spans="1:10" x14ac:dyDescent="0.3">
      <c r="A570">
        <v>168.28200000000001</v>
      </c>
      <c r="B570">
        <v>26.31</v>
      </c>
      <c r="G570" t="s">
        <v>19</v>
      </c>
      <c r="H570" s="1">
        <v>45694</v>
      </c>
      <c r="I570" s="1">
        <v>45704</v>
      </c>
      <c r="J570">
        <f t="shared" si="9"/>
        <v>10</v>
      </c>
    </row>
    <row r="571" spans="1:10" x14ac:dyDescent="0.3">
      <c r="A571">
        <v>1507.8305</v>
      </c>
      <c r="B571">
        <v>11.91</v>
      </c>
      <c r="G571" t="s">
        <v>19</v>
      </c>
      <c r="H571" s="1">
        <v>45561</v>
      </c>
      <c r="I571" s="1">
        <v>45565</v>
      </c>
      <c r="J571">
        <f t="shared" si="9"/>
        <v>4</v>
      </c>
    </row>
    <row r="572" spans="1:10" x14ac:dyDescent="0.3">
      <c r="A572">
        <v>9958.14</v>
      </c>
      <c r="B572">
        <v>31.76</v>
      </c>
      <c r="G572" t="s">
        <v>21</v>
      </c>
      <c r="H572" s="1">
        <v>45744</v>
      </c>
      <c r="I572" s="1">
        <v>45748</v>
      </c>
      <c r="J572">
        <f t="shared" si="9"/>
        <v>4</v>
      </c>
    </row>
    <row r="573" spans="1:10" x14ac:dyDescent="0.3">
      <c r="A573">
        <v>1951.9649999999999</v>
      </c>
      <c r="B573">
        <v>8.75</v>
      </c>
      <c r="G573" t="s">
        <v>19</v>
      </c>
      <c r="H573" s="1">
        <v>45108</v>
      </c>
      <c r="I573" s="1">
        <v>45116</v>
      </c>
      <c r="J573">
        <f t="shared" si="9"/>
        <v>8</v>
      </c>
    </row>
    <row r="574" spans="1:10" x14ac:dyDescent="0.3">
      <c r="A574">
        <v>1486.422</v>
      </c>
      <c r="B574">
        <v>8.44</v>
      </c>
      <c r="G574" t="s">
        <v>23</v>
      </c>
      <c r="H574" s="1">
        <v>45045</v>
      </c>
      <c r="I574" s="1">
        <v>45050</v>
      </c>
      <c r="J574">
        <f t="shared" si="9"/>
        <v>5</v>
      </c>
    </row>
    <row r="575" spans="1:10" x14ac:dyDescent="0.3">
      <c r="A575">
        <v>6281.84</v>
      </c>
      <c r="B575">
        <v>17.12</v>
      </c>
      <c r="G575" t="s">
        <v>19</v>
      </c>
      <c r="H575" s="1">
        <v>45046</v>
      </c>
      <c r="I575" s="1">
        <v>45052</v>
      </c>
      <c r="J575">
        <f t="shared" si="9"/>
        <v>6</v>
      </c>
    </row>
    <row r="576" spans="1:10" x14ac:dyDescent="0.3">
      <c r="A576">
        <v>1136.72</v>
      </c>
      <c r="B576">
        <v>38.97</v>
      </c>
      <c r="G576" t="s">
        <v>23</v>
      </c>
      <c r="H576" s="1">
        <v>45365</v>
      </c>
      <c r="I576" s="1">
        <v>45371</v>
      </c>
      <c r="J576">
        <f t="shared" si="9"/>
        <v>6</v>
      </c>
    </row>
    <row r="577" spans="1:10" x14ac:dyDescent="0.3">
      <c r="A577">
        <v>1268.9055000000001</v>
      </c>
      <c r="B577">
        <v>13.97</v>
      </c>
      <c r="G577" t="s">
        <v>22</v>
      </c>
      <c r="H577" s="1">
        <v>45104</v>
      </c>
      <c r="I577" s="1">
        <v>45109</v>
      </c>
      <c r="J577">
        <f t="shared" si="9"/>
        <v>5</v>
      </c>
    </row>
    <row r="578" spans="1:10" x14ac:dyDescent="0.3">
      <c r="A578">
        <v>180.12</v>
      </c>
      <c r="B578">
        <v>22.33</v>
      </c>
      <c r="G578" t="s">
        <v>21</v>
      </c>
      <c r="H578" s="1">
        <v>45392</v>
      </c>
      <c r="I578" s="1">
        <v>45394</v>
      </c>
      <c r="J578">
        <f t="shared" si="9"/>
        <v>2</v>
      </c>
    </row>
    <row r="579" spans="1:10" x14ac:dyDescent="0.3">
      <c r="A579">
        <v>375.83600000000001</v>
      </c>
      <c r="B579">
        <v>16.84</v>
      </c>
      <c r="G579" t="s">
        <v>22</v>
      </c>
      <c r="H579" s="1">
        <v>45168</v>
      </c>
      <c r="I579" s="1">
        <v>45170</v>
      </c>
      <c r="J579">
        <f t="shared" ref="J579:J642" si="10">I579-H579</f>
        <v>2</v>
      </c>
    </row>
    <row r="580" spans="1:10" x14ac:dyDescent="0.3">
      <c r="A580">
        <v>419.09249999999997</v>
      </c>
      <c r="B580">
        <v>27.68</v>
      </c>
      <c r="G580" t="s">
        <v>23</v>
      </c>
      <c r="H580" s="1">
        <v>45222</v>
      </c>
      <c r="I580" s="1">
        <v>45229</v>
      </c>
      <c r="J580">
        <f t="shared" si="10"/>
        <v>7</v>
      </c>
    </row>
    <row r="581" spans="1:10" x14ac:dyDescent="0.3">
      <c r="A581">
        <v>3396.33</v>
      </c>
      <c r="B581">
        <v>42.04</v>
      </c>
      <c r="G581" t="s">
        <v>21</v>
      </c>
      <c r="H581" s="1">
        <v>45008</v>
      </c>
      <c r="I581" s="1">
        <v>45015</v>
      </c>
      <c r="J581">
        <f t="shared" si="10"/>
        <v>7</v>
      </c>
    </row>
    <row r="582" spans="1:10" x14ac:dyDescent="0.3">
      <c r="A582">
        <v>837.25850000000003</v>
      </c>
      <c r="B582">
        <v>41.94</v>
      </c>
      <c r="G582" t="s">
        <v>22</v>
      </c>
      <c r="H582" s="1">
        <v>45556</v>
      </c>
      <c r="I582" s="1">
        <v>45565</v>
      </c>
      <c r="J582">
        <f t="shared" si="10"/>
        <v>9</v>
      </c>
    </row>
    <row r="583" spans="1:10" x14ac:dyDescent="0.3">
      <c r="A583">
        <v>1385.28</v>
      </c>
      <c r="B583">
        <v>13.61</v>
      </c>
      <c r="G583" t="s">
        <v>23</v>
      </c>
      <c r="H583" s="1">
        <v>45652</v>
      </c>
      <c r="I583" s="1">
        <v>45660</v>
      </c>
      <c r="J583">
        <f t="shared" si="10"/>
        <v>8</v>
      </c>
    </row>
    <row r="584" spans="1:10" x14ac:dyDescent="0.3">
      <c r="A584">
        <v>84.5</v>
      </c>
      <c r="B584">
        <v>20.02</v>
      </c>
      <c r="G584" t="s">
        <v>19</v>
      </c>
      <c r="H584" s="1">
        <v>44983</v>
      </c>
      <c r="I584" s="1">
        <v>44988</v>
      </c>
      <c r="J584">
        <f t="shared" si="10"/>
        <v>5</v>
      </c>
    </row>
    <row r="585" spans="1:10" x14ac:dyDescent="0.3">
      <c r="A585">
        <v>566.32000000000005</v>
      </c>
      <c r="B585">
        <v>46.35</v>
      </c>
      <c r="G585" t="s">
        <v>21</v>
      </c>
      <c r="H585" s="1">
        <v>45636</v>
      </c>
      <c r="I585" s="1">
        <v>45640</v>
      </c>
      <c r="J585">
        <f t="shared" si="10"/>
        <v>4</v>
      </c>
    </row>
    <row r="586" spans="1:10" x14ac:dyDescent="0.3">
      <c r="A586">
        <v>8945.9100000000017</v>
      </c>
      <c r="B586">
        <v>46.59</v>
      </c>
      <c r="G586" t="s">
        <v>19</v>
      </c>
      <c r="H586" s="1">
        <v>45658</v>
      </c>
      <c r="I586" s="1">
        <v>45660</v>
      </c>
      <c r="J586">
        <f t="shared" si="10"/>
        <v>2</v>
      </c>
    </row>
    <row r="587" spans="1:10" x14ac:dyDescent="0.3">
      <c r="A587">
        <v>79.117999999999995</v>
      </c>
      <c r="B587">
        <v>32.86</v>
      </c>
      <c r="G587" t="s">
        <v>19</v>
      </c>
      <c r="H587" s="1">
        <v>45730</v>
      </c>
      <c r="I587" s="1">
        <v>45737</v>
      </c>
      <c r="J587">
        <f t="shared" si="10"/>
        <v>7</v>
      </c>
    </row>
    <row r="588" spans="1:10" x14ac:dyDescent="0.3">
      <c r="A588">
        <v>1984.1849999999999</v>
      </c>
      <c r="B588">
        <v>23.84</v>
      </c>
      <c r="G588" t="s">
        <v>20</v>
      </c>
      <c r="H588" s="1">
        <v>45307</v>
      </c>
      <c r="I588" s="1">
        <v>45311</v>
      </c>
      <c r="J588">
        <f t="shared" si="10"/>
        <v>4</v>
      </c>
    </row>
    <row r="589" spans="1:10" x14ac:dyDescent="0.3">
      <c r="A589">
        <v>2784.5</v>
      </c>
      <c r="B589">
        <v>11.13</v>
      </c>
      <c r="G589" t="s">
        <v>23</v>
      </c>
      <c r="H589" s="1">
        <v>45401</v>
      </c>
      <c r="I589" s="1">
        <v>45407</v>
      </c>
      <c r="J589">
        <f t="shared" si="10"/>
        <v>6</v>
      </c>
    </row>
    <row r="590" spans="1:10" x14ac:dyDescent="0.3">
      <c r="A590">
        <v>5083.1269999999986</v>
      </c>
      <c r="B590">
        <v>49.12</v>
      </c>
      <c r="G590" t="s">
        <v>21</v>
      </c>
      <c r="H590" s="1">
        <v>45268</v>
      </c>
      <c r="I590" s="1">
        <v>45271</v>
      </c>
      <c r="J590">
        <f t="shared" si="10"/>
        <v>3</v>
      </c>
    </row>
    <row r="591" spans="1:10" x14ac:dyDescent="0.3">
      <c r="A591">
        <v>3092.1170000000002</v>
      </c>
      <c r="B591">
        <v>5.32</v>
      </c>
      <c r="G591" t="s">
        <v>21</v>
      </c>
      <c r="H591" s="1">
        <v>45000</v>
      </c>
      <c r="I591" s="1">
        <v>45004</v>
      </c>
      <c r="J591">
        <f t="shared" si="10"/>
        <v>4</v>
      </c>
    </row>
    <row r="592" spans="1:10" x14ac:dyDescent="0.3">
      <c r="A592">
        <v>216.89449999999999</v>
      </c>
      <c r="B592">
        <v>22</v>
      </c>
      <c r="G592" t="s">
        <v>20</v>
      </c>
      <c r="H592" s="1">
        <v>45695</v>
      </c>
      <c r="I592" s="1">
        <v>45701</v>
      </c>
      <c r="J592">
        <f t="shared" si="10"/>
        <v>6</v>
      </c>
    </row>
    <row r="593" spans="1:10" x14ac:dyDescent="0.3">
      <c r="A593">
        <v>307.33449999999999</v>
      </c>
      <c r="B593">
        <v>6.16</v>
      </c>
      <c r="G593" t="s">
        <v>21</v>
      </c>
      <c r="H593" s="1">
        <v>45835</v>
      </c>
      <c r="I593" s="1">
        <v>45840</v>
      </c>
      <c r="J593">
        <f t="shared" si="10"/>
        <v>5</v>
      </c>
    </row>
    <row r="594" spans="1:10" x14ac:dyDescent="0.3">
      <c r="A594">
        <v>461.88049999999998</v>
      </c>
      <c r="B594">
        <v>41.73</v>
      </c>
      <c r="G594" t="s">
        <v>22</v>
      </c>
      <c r="H594" s="1">
        <v>45643</v>
      </c>
      <c r="I594" s="1">
        <v>45646</v>
      </c>
      <c r="J594">
        <f t="shared" si="10"/>
        <v>3</v>
      </c>
    </row>
    <row r="595" spans="1:10" x14ac:dyDescent="0.3">
      <c r="A595">
        <v>1520.019</v>
      </c>
      <c r="B595">
        <v>48.49</v>
      </c>
      <c r="G595" t="s">
        <v>20</v>
      </c>
      <c r="H595" s="1">
        <v>45415</v>
      </c>
      <c r="I595" s="1">
        <v>45423</v>
      </c>
      <c r="J595">
        <f t="shared" si="10"/>
        <v>8</v>
      </c>
    </row>
    <row r="596" spans="1:10" x14ac:dyDescent="0.3">
      <c r="A596">
        <v>812.16000000000008</v>
      </c>
      <c r="B596">
        <v>15.98</v>
      </c>
      <c r="G596" t="s">
        <v>20</v>
      </c>
      <c r="H596" s="1">
        <v>45286</v>
      </c>
      <c r="I596" s="1">
        <v>45292</v>
      </c>
      <c r="J596">
        <f t="shared" si="10"/>
        <v>6</v>
      </c>
    </row>
    <row r="597" spans="1:10" x14ac:dyDescent="0.3">
      <c r="A597">
        <v>832.13349999999991</v>
      </c>
      <c r="B597">
        <v>43.84</v>
      </c>
      <c r="G597" t="s">
        <v>22</v>
      </c>
      <c r="H597" s="1">
        <v>45425</v>
      </c>
      <c r="I597" s="1">
        <v>45431</v>
      </c>
      <c r="J597">
        <f t="shared" si="10"/>
        <v>6</v>
      </c>
    </row>
    <row r="598" spans="1:10" x14ac:dyDescent="0.3">
      <c r="A598">
        <v>3034.2</v>
      </c>
      <c r="B598">
        <v>40.380000000000003</v>
      </c>
      <c r="G598" t="s">
        <v>20</v>
      </c>
      <c r="H598" s="1">
        <v>45206</v>
      </c>
      <c r="I598" s="1">
        <v>45215</v>
      </c>
      <c r="J598">
        <f t="shared" si="10"/>
        <v>9</v>
      </c>
    </row>
    <row r="599" spans="1:10" x14ac:dyDescent="0.3">
      <c r="A599">
        <v>2848.1</v>
      </c>
      <c r="B599">
        <v>48.8</v>
      </c>
      <c r="G599" t="s">
        <v>23</v>
      </c>
      <c r="H599" s="1">
        <v>45118</v>
      </c>
      <c r="I599" s="1">
        <v>45120</v>
      </c>
      <c r="J599">
        <f t="shared" si="10"/>
        <v>2</v>
      </c>
    </row>
    <row r="600" spans="1:10" x14ac:dyDescent="0.3">
      <c r="A600">
        <v>1639.8425</v>
      </c>
      <c r="B600">
        <v>22.28</v>
      </c>
      <c r="G600" t="s">
        <v>20</v>
      </c>
      <c r="H600" s="1">
        <v>45688</v>
      </c>
      <c r="I600" s="1">
        <v>45694</v>
      </c>
      <c r="J600">
        <f t="shared" si="10"/>
        <v>6</v>
      </c>
    </row>
    <row r="601" spans="1:10" x14ac:dyDescent="0.3">
      <c r="A601">
        <v>564.12900000000002</v>
      </c>
      <c r="B601">
        <v>44.35</v>
      </c>
      <c r="G601" t="s">
        <v>20</v>
      </c>
      <c r="H601" s="1">
        <v>44961</v>
      </c>
      <c r="I601" s="1">
        <v>44964</v>
      </c>
      <c r="J601">
        <f t="shared" si="10"/>
        <v>3</v>
      </c>
    </row>
    <row r="602" spans="1:10" x14ac:dyDescent="0.3">
      <c r="A602">
        <v>11.141999999999999</v>
      </c>
      <c r="B602">
        <v>47.24</v>
      </c>
      <c r="G602" t="s">
        <v>20</v>
      </c>
      <c r="H602" s="1">
        <v>45171</v>
      </c>
      <c r="I602" s="1">
        <v>45181</v>
      </c>
      <c r="J602">
        <f t="shared" si="10"/>
        <v>10</v>
      </c>
    </row>
    <row r="603" spans="1:10" x14ac:dyDescent="0.3">
      <c r="A603">
        <v>3172.454999999999</v>
      </c>
      <c r="B603">
        <v>11.17</v>
      </c>
      <c r="G603" t="s">
        <v>22</v>
      </c>
      <c r="H603" s="1">
        <v>45639</v>
      </c>
      <c r="I603" s="1">
        <v>45641</v>
      </c>
      <c r="J603">
        <f t="shared" si="10"/>
        <v>2</v>
      </c>
    </row>
    <row r="604" spans="1:10" x14ac:dyDescent="0.3">
      <c r="A604">
        <v>376.35</v>
      </c>
      <c r="B604">
        <v>31.61</v>
      </c>
      <c r="G604" t="s">
        <v>22</v>
      </c>
      <c r="H604" s="1">
        <v>45212</v>
      </c>
      <c r="I604" s="1">
        <v>45221</v>
      </c>
      <c r="J604">
        <f t="shared" si="10"/>
        <v>9</v>
      </c>
    </row>
    <row r="605" spans="1:10" x14ac:dyDescent="0.3">
      <c r="A605">
        <v>367.60500000000008</v>
      </c>
      <c r="B605">
        <v>48.38</v>
      </c>
      <c r="G605" t="s">
        <v>20</v>
      </c>
      <c r="H605" s="1">
        <v>45568</v>
      </c>
      <c r="I605" s="1">
        <v>45572</v>
      </c>
      <c r="J605">
        <f t="shared" si="10"/>
        <v>4</v>
      </c>
    </row>
    <row r="606" spans="1:10" x14ac:dyDescent="0.3">
      <c r="A606">
        <v>2450.9699999999998</v>
      </c>
      <c r="B606">
        <v>8.39</v>
      </c>
      <c r="G606" t="s">
        <v>22</v>
      </c>
      <c r="H606" s="1">
        <v>45410</v>
      </c>
      <c r="I606" s="1">
        <v>45416</v>
      </c>
      <c r="J606">
        <f t="shared" si="10"/>
        <v>6</v>
      </c>
    </row>
    <row r="607" spans="1:10" x14ac:dyDescent="0.3">
      <c r="A607">
        <v>3820.92</v>
      </c>
      <c r="B607">
        <v>15.97</v>
      </c>
      <c r="G607" t="s">
        <v>22</v>
      </c>
      <c r="H607" s="1">
        <v>45329</v>
      </c>
      <c r="I607" s="1">
        <v>45336</v>
      </c>
      <c r="J607">
        <f t="shared" si="10"/>
        <v>7</v>
      </c>
    </row>
    <row r="608" spans="1:10" x14ac:dyDescent="0.3">
      <c r="A608">
        <v>5328.9900000000007</v>
      </c>
      <c r="B608">
        <v>18.170000000000002</v>
      </c>
      <c r="G608" t="s">
        <v>20</v>
      </c>
      <c r="H608" s="1">
        <v>44965</v>
      </c>
      <c r="I608" s="1">
        <v>44968</v>
      </c>
      <c r="J608">
        <f t="shared" si="10"/>
        <v>3</v>
      </c>
    </row>
    <row r="609" spans="1:10" x14ac:dyDescent="0.3">
      <c r="A609">
        <v>355.6825</v>
      </c>
      <c r="B609">
        <v>35.58</v>
      </c>
      <c r="G609" t="s">
        <v>20</v>
      </c>
      <c r="H609" s="1">
        <v>45094</v>
      </c>
      <c r="I609" s="1">
        <v>45096</v>
      </c>
      <c r="J609">
        <f t="shared" si="10"/>
        <v>2</v>
      </c>
    </row>
    <row r="610" spans="1:10" x14ac:dyDescent="0.3">
      <c r="A610">
        <v>3029.4</v>
      </c>
      <c r="B610">
        <v>44.61</v>
      </c>
      <c r="G610" t="s">
        <v>23</v>
      </c>
      <c r="H610" s="1">
        <v>45502</v>
      </c>
      <c r="I610" s="1">
        <v>45505</v>
      </c>
      <c r="J610">
        <f t="shared" si="10"/>
        <v>3</v>
      </c>
    </row>
    <row r="611" spans="1:10" x14ac:dyDescent="0.3">
      <c r="A611">
        <v>8229.76</v>
      </c>
      <c r="B611">
        <v>40.75</v>
      </c>
      <c r="G611" t="s">
        <v>23</v>
      </c>
      <c r="H611" s="1">
        <v>45320</v>
      </c>
      <c r="I611" s="1">
        <v>45323</v>
      </c>
      <c r="J611">
        <f t="shared" si="10"/>
        <v>3</v>
      </c>
    </row>
    <row r="612" spans="1:10" x14ac:dyDescent="0.3">
      <c r="A612">
        <v>534.96</v>
      </c>
      <c r="B612">
        <v>8.7100000000000009</v>
      </c>
      <c r="G612" t="s">
        <v>19</v>
      </c>
      <c r="H612" s="1">
        <v>45309</v>
      </c>
      <c r="I612" s="1">
        <v>45314</v>
      </c>
      <c r="J612">
        <f t="shared" si="10"/>
        <v>5</v>
      </c>
    </row>
    <row r="613" spans="1:10" x14ac:dyDescent="0.3">
      <c r="A613">
        <v>2780</v>
      </c>
      <c r="B613">
        <v>24.25</v>
      </c>
      <c r="G613" t="s">
        <v>21</v>
      </c>
      <c r="H613" s="1">
        <v>45516</v>
      </c>
      <c r="I613" s="1">
        <v>45526</v>
      </c>
      <c r="J613">
        <f t="shared" si="10"/>
        <v>10</v>
      </c>
    </row>
    <row r="614" spans="1:10" x14ac:dyDescent="0.3">
      <c r="A614">
        <v>4198.8239999999996</v>
      </c>
      <c r="B614">
        <v>49.18</v>
      </c>
      <c r="G614" t="s">
        <v>23</v>
      </c>
      <c r="H614" s="1">
        <v>45763</v>
      </c>
      <c r="I614" s="1">
        <v>45767</v>
      </c>
      <c r="J614">
        <f t="shared" si="10"/>
        <v>4</v>
      </c>
    </row>
    <row r="615" spans="1:10" x14ac:dyDescent="0.3">
      <c r="A615">
        <v>1088.9280000000001</v>
      </c>
      <c r="B615">
        <v>27.39</v>
      </c>
      <c r="G615" t="s">
        <v>22</v>
      </c>
      <c r="H615" s="1">
        <v>44983</v>
      </c>
      <c r="I615" s="1">
        <v>44987</v>
      </c>
      <c r="J615">
        <f t="shared" si="10"/>
        <v>4</v>
      </c>
    </row>
    <row r="616" spans="1:10" x14ac:dyDescent="0.3">
      <c r="A616">
        <v>6936.0069999999996</v>
      </c>
      <c r="B616">
        <v>12.91</v>
      </c>
      <c r="G616" t="s">
        <v>19</v>
      </c>
      <c r="H616" s="1">
        <v>44933</v>
      </c>
      <c r="I616" s="1">
        <v>44937</v>
      </c>
      <c r="J616">
        <f t="shared" si="10"/>
        <v>4</v>
      </c>
    </row>
    <row r="617" spans="1:10" x14ac:dyDescent="0.3">
      <c r="A617">
        <v>1798.05</v>
      </c>
      <c r="B617">
        <v>41.31</v>
      </c>
      <c r="G617" t="s">
        <v>20</v>
      </c>
      <c r="H617" s="1">
        <v>45223</v>
      </c>
      <c r="I617" s="1">
        <v>45233</v>
      </c>
      <c r="J617">
        <f t="shared" si="10"/>
        <v>10</v>
      </c>
    </row>
    <row r="618" spans="1:10" x14ac:dyDescent="0.3">
      <c r="A618">
        <v>1472.37</v>
      </c>
      <c r="B618">
        <v>6.04</v>
      </c>
      <c r="G618" t="s">
        <v>21</v>
      </c>
      <c r="H618" s="1">
        <v>45293</v>
      </c>
      <c r="I618" s="1">
        <v>45303</v>
      </c>
      <c r="J618">
        <f t="shared" si="10"/>
        <v>10</v>
      </c>
    </row>
    <row r="619" spans="1:10" x14ac:dyDescent="0.3">
      <c r="A619">
        <v>6081.8519999999999</v>
      </c>
      <c r="B619">
        <v>28.27</v>
      </c>
      <c r="G619" t="s">
        <v>20</v>
      </c>
      <c r="H619" s="1">
        <v>45552</v>
      </c>
      <c r="I619" s="1">
        <v>45560</v>
      </c>
      <c r="J619">
        <f t="shared" si="10"/>
        <v>8</v>
      </c>
    </row>
    <row r="620" spans="1:10" x14ac:dyDescent="0.3">
      <c r="A620">
        <v>7250.3239999999996</v>
      </c>
      <c r="B620">
        <v>37.770000000000003</v>
      </c>
      <c r="G620" t="s">
        <v>22</v>
      </c>
      <c r="H620" s="1">
        <v>45417</v>
      </c>
      <c r="I620" s="1">
        <v>45423</v>
      </c>
      <c r="J620">
        <f t="shared" si="10"/>
        <v>6</v>
      </c>
    </row>
    <row r="621" spans="1:10" x14ac:dyDescent="0.3">
      <c r="A621">
        <v>1467.44</v>
      </c>
      <c r="B621">
        <v>12.39</v>
      </c>
      <c r="G621" t="s">
        <v>23</v>
      </c>
      <c r="H621" s="1">
        <v>45835</v>
      </c>
      <c r="I621" s="1">
        <v>45837</v>
      </c>
      <c r="J621">
        <f t="shared" si="10"/>
        <v>2</v>
      </c>
    </row>
    <row r="622" spans="1:10" x14ac:dyDescent="0.3">
      <c r="A622">
        <v>1887.4079999999999</v>
      </c>
      <c r="B622">
        <v>7.39</v>
      </c>
      <c r="G622" t="s">
        <v>23</v>
      </c>
      <c r="H622" s="1">
        <v>45426</v>
      </c>
      <c r="I622" s="1">
        <v>45434</v>
      </c>
      <c r="J622">
        <f t="shared" si="10"/>
        <v>8</v>
      </c>
    </row>
    <row r="623" spans="1:10" x14ac:dyDescent="0.3">
      <c r="A623">
        <v>1528.2149999999999</v>
      </c>
      <c r="B623">
        <v>30.78</v>
      </c>
      <c r="G623" t="s">
        <v>21</v>
      </c>
      <c r="H623" s="1">
        <v>45351</v>
      </c>
      <c r="I623" s="1">
        <v>45356</v>
      </c>
      <c r="J623">
        <f t="shared" si="10"/>
        <v>5</v>
      </c>
    </row>
    <row r="624" spans="1:10" x14ac:dyDescent="0.3">
      <c r="A624">
        <v>1153.6199999999999</v>
      </c>
      <c r="B624">
        <v>5.98</v>
      </c>
      <c r="G624" t="s">
        <v>19</v>
      </c>
      <c r="H624" s="1">
        <v>45796</v>
      </c>
      <c r="I624" s="1">
        <v>45804</v>
      </c>
      <c r="J624">
        <f t="shared" si="10"/>
        <v>8</v>
      </c>
    </row>
    <row r="625" spans="1:10" x14ac:dyDescent="0.3">
      <c r="A625">
        <v>3106.9845</v>
      </c>
      <c r="B625">
        <v>41.64</v>
      </c>
      <c r="G625" t="s">
        <v>19</v>
      </c>
      <c r="H625" s="1">
        <v>45628</v>
      </c>
      <c r="I625" s="1">
        <v>45630</v>
      </c>
      <c r="J625">
        <f t="shared" si="10"/>
        <v>2</v>
      </c>
    </row>
    <row r="626" spans="1:10" x14ac:dyDescent="0.3">
      <c r="A626">
        <v>5444.4539999999997</v>
      </c>
      <c r="B626">
        <v>48.71</v>
      </c>
      <c r="G626" t="s">
        <v>23</v>
      </c>
      <c r="H626" s="1">
        <v>45503</v>
      </c>
      <c r="I626" s="1">
        <v>45508</v>
      </c>
      <c r="J626">
        <f t="shared" si="10"/>
        <v>5</v>
      </c>
    </row>
    <row r="627" spans="1:10" x14ac:dyDescent="0.3">
      <c r="A627">
        <v>2073.924</v>
      </c>
      <c r="B627">
        <v>41.08</v>
      </c>
      <c r="G627" t="s">
        <v>20</v>
      </c>
      <c r="H627" s="1">
        <v>45102</v>
      </c>
      <c r="I627" s="1">
        <v>45110</v>
      </c>
      <c r="J627">
        <f t="shared" si="10"/>
        <v>8</v>
      </c>
    </row>
    <row r="628" spans="1:10" x14ac:dyDescent="0.3">
      <c r="A628">
        <v>10084.4</v>
      </c>
      <c r="B628">
        <v>14.61</v>
      </c>
      <c r="G628" t="s">
        <v>20</v>
      </c>
      <c r="H628" s="1">
        <v>45483</v>
      </c>
      <c r="I628" s="1">
        <v>45492</v>
      </c>
      <c r="J628">
        <f t="shared" si="10"/>
        <v>9</v>
      </c>
    </row>
    <row r="629" spans="1:10" x14ac:dyDescent="0.3">
      <c r="A629">
        <v>1220.058</v>
      </c>
      <c r="B629">
        <v>39.01</v>
      </c>
      <c r="G629" t="s">
        <v>19</v>
      </c>
      <c r="H629" s="1">
        <v>44932</v>
      </c>
      <c r="I629" s="1">
        <v>44941</v>
      </c>
      <c r="J629">
        <f t="shared" si="10"/>
        <v>9</v>
      </c>
    </row>
    <row r="630" spans="1:10" x14ac:dyDescent="0.3">
      <c r="A630">
        <v>731.24099999999999</v>
      </c>
      <c r="B630">
        <v>17.2</v>
      </c>
      <c r="G630" t="s">
        <v>20</v>
      </c>
      <c r="H630" s="1">
        <v>45346</v>
      </c>
      <c r="I630" s="1">
        <v>45351</v>
      </c>
      <c r="J630">
        <f t="shared" si="10"/>
        <v>5</v>
      </c>
    </row>
    <row r="631" spans="1:10" x14ac:dyDescent="0.3">
      <c r="A631">
        <v>1117.44</v>
      </c>
      <c r="B631">
        <v>8.67</v>
      </c>
      <c r="G631" t="s">
        <v>22</v>
      </c>
      <c r="H631" s="1">
        <v>45271</v>
      </c>
      <c r="I631" s="1">
        <v>45280</v>
      </c>
      <c r="J631">
        <f t="shared" si="10"/>
        <v>9</v>
      </c>
    </row>
    <row r="632" spans="1:10" x14ac:dyDescent="0.3">
      <c r="A632">
        <v>4730.7259999999997</v>
      </c>
      <c r="B632">
        <v>22.84</v>
      </c>
      <c r="G632" t="s">
        <v>20</v>
      </c>
      <c r="H632" s="1">
        <v>45707</v>
      </c>
      <c r="I632" s="1">
        <v>45711</v>
      </c>
      <c r="J632">
        <f t="shared" si="10"/>
        <v>4</v>
      </c>
    </row>
    <row r="633" spans="1:10" x14ac:dyDescent="0.3">
      <c r="A633">
        <v>212.364</v>
      </c>
      <c r="B633">
        <v>31.91</v>
      </c>
      <c r="G633" t="s">
        <v>23</v>
      </c>
      <c r="H633" s="1">
        <v>45734</v>
      </c>
      <c r="I633" s="1">
        <v>45742</v>
      </c>
      <c r="J633">
        <f t="shared" si="10"/>
        <v>8</v>
      </c>
    </row>
    <row r="634" spans="1:10" x14ac:dyDescent="0.3">
      <c r="A634">
        <v>3024.5039999999999</v>
      </c>
      <c r="B634">
        <v>44.37</v>
      </c>
      <c r="G634" t="s">
        <v>20</v>
      </c>
      <c r="H634" s="1">
        <v>45191</v>
      </c>
      <c r="I634" s="1">
        <v>45196</v>
      </c>
      <c r="J634">
        <f t="shared" si="10"/>
        <v>5</v>
      </c>
    </row>
    <row r="635" spans="1:10" x14ac:dyDescent="0.3">
      <c r="A635">
        <v>1091.8800000000001</v>
      </c>
      <c r="B635">
        <v>10.08</v>
      </c>
      <c r="G635" t="s">
        <v>23</v>
      </c>
      <c r="H635" s="1">
        <v>45283</v>
      </c>
      <c r="I635" s="1">
        <v>45288</v>
      </c>
      <c r="J635">
        <f t="shared" si="10"/>
        <v>5</v>
      </c>
    </row>
    <row r="636" spans="1:10" x14ac:dyDescent="0.3">
      <c r="A636">
        <v>1419.8130000000001</v>
      </c>
      <c r="B636">
        <v>20.38</v>
      </c>
      <c r="G636" t="s">
        <v>21</v>
      </c>
      <c r="H636" s="1">
        <v>45781</v>
      </c>
      <c r="I636" s="1">
        <v>45787</v>
      </c>
      <c r="J636">
        <f t="shared" si="10"/>
        <v>6</v>
      </c>
    </row>
    <row r="637" spans="1:10" x14ac:dyDescent="0.3">
      <c r="A637">
        <v>7200.9000000000005</v>
      </c>
      <c r="B637">
        <v>24.41</v>
      </c>
      <c r="G637" t="s">
        <v>19</v>
      </c>
      <c r="H637" s="1">
        <v>45668</v>
      </c>
      <c r="I637" s="1">
        <v>45670</v>
      </c>
      <c r="J637">
        <f t="shared" si="10"/>
        <v>2</v>
      </c>
    </row>
    <row r="638" spans="1:10" x14ac:dyDescent="0.3">
      <c r="A638">
        <v>124.3265</v>
      </c>
      <c r="B638">
        <v>43.21</v>
      </c>
      <c r="G638" t="s">
        <v>20</v>
      </c>
      <c r="H638" s="1">
        <v>45768</v>
      </c>
      <c r="I638" s="1">
        <v>45771</v>
      </c>
      <c r="J638">
        <f t="shared" si="10"/>
        <v>3</v>
      </c>
    </row>
    <row r="639" spans="1:10" x14ac:dyDescent="0.3">
      <c r="A639">
        <v>1244.298</v>
      </c>
      <c r="B639">
        <v>44.61</v>
      </c>
      <c r="G639" t="s">
        <v>22</v>
      </c>
      <c r="H639" s="1">
        <v>45273</v>
      </c>
      <c r="I639" s="1">
        <v>45282</v>
      </c>
      <c r="J639">
        <f t="shared" si="10"/>
        <v>9</v>
      </c>
    </row>
    <row r="640" spans="1:10" x14ac:dyDescent="0.3">
      <c r="A640">
        <v>5249.5559999999996</v>
      </c>
      <c r="B640">
        <v>16.82</v>
      </c>
      <c r="G640" t="s">
        <v>19</v>
      </c>
      <c r="H640" s="1">
        <v>45329</v>
      </c>
      <c r="I640" s="1">
        <v>45333</v>
      </c>
      <c r="J640">
        <f t="shared" si="10"/>
        <v>4</v>
      </c>
    </row>
    <row r="641" spans="1:10" x14ac:dyDescent="0.3">
      <c r="A641">
        <v>688.36999999999989</v>
      </c>
      <c r="B641">
        <v>33.94</v>
      </c>
      <c r="G641" t="s">
        <v>21</v>
      </c>
      <c r="H641" s="1">
        <v>45406</v>
      </c>
      <c r="I641" s="1">
        <v>45409</v>
      </c>
      <c r="J641">
        <f t="shared" si="10"/>
        <v>3</v>
      </c>
    </row>
    <row r="642" spans="1:10" x14ac:dyDescent="0.3">
      <c r="A642">
        <v>1592.78</v>
      </c>
      <c r="B642">
        <v>25.35</v>
      </c>
      <c r="G642" t="s">
        <v>23</v>
      </c>
      <c r="H642" s="1">
        <v>45180</v>
      </c>
      <c r="I642" s="1">
        <v>45185</v>
      </c>
      <c r="J642">
        <f t="shared" si="10"/>
        <v>5</v>
      </c>
    </row>
    <row r="643" spans="1:10" x14ac:dyDescent="0.3">
      <c r="A643">
        <v>179.2</v>
      </c>
      <c r="B643">
        <v>23.69</v>
      </c>
      <c r="G643" t="s">
        <v>22</v>
      </c>
      <c r="H643" s="1">
        <v>45817</v>
      </c>
      <c r="I643" s="1">
        <v>45820</v>
      </c>
      <c r="J643">
        <f t="shared" ref="J643:J706" si="11">I643-H643</f>
        <v>3</v>
      </c>
    </row>
    <row r="644" spans="1:10" x14ac:dyDescent="0.3">
      <c r="A644">
        <v>999.39599999999996</v>
      </c>
      <c r="B644">
        <v>9.86</v>
      </c>
      <c r="G644" t="s">
        <v>19</v>
      </c>
      <c r="H644" s="1">
        <v>45814</v>
      </c>
      <c r="I644" s="1">
        <v>45824</v>
      </c>
      <c r="J644">
        <f t="shared" si="11"/>
        <v>10</v>
      </c>
    </row>
    <row r="645" spans="1:10" x14ac:dyDescent="0.3">
      <c r="A645">
        <v>3770.37</v>
      </c>
      <c r="B645">
        <v>45.63</v>
      </c>
      <c r="G645" t="s">
        <v>20</v>
      </c>
      <c r="H645" s="1">
        <v>45649</v>
      </c>
      <c r="I645" s="1">
        <v>45654</v>
      </c>
      <c r="J645">
        <f t="shared" si="11"/>
        <v>5</v>
      </c>
    </row>
    <row r="646" spans="1:10" x14ac:dyDescent="0.3">
      <c r="A646">
        <v>3637.08</v>
      </c>
      <c r="B646">
        <v>5.48</v>
      </c>
      <c r="G646" t="s">
        <v>19</v>
      </c>
      <c r="H646" s="1">
        <v>45165</v>
      </c>
      <c r="I646" s="1">
        <v>45172</v>
      </c>
      <c r="J646">
        <f t="shared" si="11"/>
        <v>7</v>
      </c>
    </row>
    <row r="647" spans="1:10" x14ac:dyDescent="0.3">
      <c r="A647">
        <v>1889.55</v>
      </c>
      <c r="B647">
        <v>10.99</v>
      </c>
      <c r="G647" t="s">
        <v>19</v>
      </c>
      <c r="H647" s="1">
        <v>44935</v>
      </c>
      <c r="I647" s="1">
        <v>44939</v>
      </c>
      <c r="J647">
        <f t="shared" si="11"/>
        <v>4</v>
      </c>
    </row>
    <row r="648" spans="1:10" x14ac:dyDescent="0.3">
      <c r="A648">
        <v>2042.136</v>
      </c>
      <c r="B648">
        <v>49.91</v>
      </c>
      <c r="G648" t="s">
        <v>19</v>
      </c>
      <c r="H648" s="1">
        <v>45769</v>
      </c>
      <c r="I648" s="1">
        <v>45772</v>
      </c>
      <c r="J648">
        <f t="shared" si="11"/>
        <v>3</v>
      </c>
    </row>
    <row r="649" spans="1:10" x14ac:dyDescent="0.3">
      <c r="A649">
        <v>115.66800000000001</v>
      </c>
      <c r="B649">
        <v>48.92</v>
      </c>
      <c r="G649" t="s">
        <v>20</v>
      </c>
      <c r="H649" s="1">
        <v>45175</v>
      </c>
      <c r="I649" s="1">
        <v>45180</v>
      </c>
      <c r="J649">
        <f t="shared" si="11"/>
        <v>5</v>
      </c>
    </row>
    <row r="650" spans="1:10" x14ac:dyDescent="0.3">
      <c r="A650">
        <v>3850.578</v>
      </c>
      <c r="B650">
        <v>39.979999999999997</v>
      </c>
      <c r="G650" t="s">
        <v>19</v>
      </c>
      <c r="H650" s="1">
        <v>44947</v>
      </c>
      <c r="I650" s="1">
        <v>44953</v>
      </c>
      <c r="J650">
        <f t="shared" si="11"/>
        <v>6</v>
      </c>
    </row>
    <row r="651" spans="1:10" x14ac:dyDescent="0.3">
      <c r="A651">
        <v>7103.0399999999991</v>
      </c>
      <c r="B651">
        <v>25.2</v>
      </c>
      <c r="G651" t="s">
        <v>22</v>
      </c>
      <c r="H651" s="1">
        <v>45408</v>
      </c>
      <c r="I651" s="1">
        <v>45418</v>
      </c>
      <c r="J651">
        <f t="shared" si="11"/>
        <v>10</v>
      </c>
    </row>
    <row r="652" spans="1:10" x14ac:dyDescent="0.3">
      <c r="A652">
        <v>619.97950000000003</v>
      </c>
      <c r="B652">
        <v>6.47</v>
      </c>
      <c r="G652" t="s">
        <v>21</v>
      </c>
      <c r="H652" s="1">
        <v>45104</v>
      </c>
      <c r="I652" s="1">
        <v>45107</v>
      </c>
      <c r="J652">
        <f t="shared" si="11"/>
        <v>3</v>
      </c>
    </row>
    <row r="653" spans="1:10" x14ac:dyDescent="0.3">
      <c r="A653">
        <v>4480.6499999999996</v>
      </c>
      <c r="B653">
        <v>11.38</v>
      </c>
      <c r="G653" t="s">
        <v>19</v>
      </c>
      <c r="H653" s="1">
        <v>44927</v>
      </c>
      <c r="I653" s="1">
        <v>44934</v>
      </c>
      <c r="J653">
        <f t="shared" si="11"/>
        <v>7</v>
      </c>
    </row>
    <row r="654" spans="1:10" x14ac:dyDescent="0.3">
      <c r="A654">
        <v>667.71749999999997</v>
      </c>
      <c r="B654">
        <v>8.93</v>
      </c>
      <c r="G654" t="s">
        <v>23</v>
      </c>
      <c r="H654" s="1">
        <v>45290</v>
      </c>
      <c r="I654" s="1">
        <v>45293</v>
      </c>
      <c r="J654">
        <f t="shared" si="11"/>
        <v>3</v>
      </c>
    </row>
    <row r="655" spans="1:10" x14ac:dyDescent="0.3">
      <c r="A655">
        <v>562.62599999999998</v>
      </c>
      <c r="B655">
        <v>8.6199999999999992</v>
      </c>
      <c r="G655" t="s">
        <v>22</v>
      </c>
      <c r="H655" s="1">
        <v>44948</v>
      </c>
      <c r="I655" s="1">
        <v>44950</v>
      </c>
      <c r="J655">
        <f t="shared" si="11"/>
        <v>2</v>
      </c>
    </row>
    <row r="656" spans="1:10" x14ac:dyDescent="0.3">
      <c r="A656">
        <v>3747.483999999999</v>
      </c>
      <c r="B656">
        <v>11.49</v>
      </c>
      <c r="G656" t="s">
        <v>20</v>
      </c>
      <c r="H656" s="1">
        <v>45500</v>
      </c>
      <c r="I656" s="1">
        <v>45509</v>
      </c>
      <c r="J656">
        <f t="shared" si="11"/>
        <v>9</v>
      </c>
    </row>
    <row r="657" spans="1:10" x14ac:dyDescent="0.3">
      <c r="A657">
        <v>1749.48</v>
      </c>
      <c r="B657">
        <v>30.25</v>
      </c>
      <c r="G657" t="s">
        <v>20</v>
      </c>
      <c r="H657" s="1">
        <v>45306</v>
      </c>
      <c r="I657" s="1">
        <v>45308</v>
      </c>
      <c r="J657">
        <f t="shared" si="11"/>
        <v>2</v>
      </c>
    </row>
    <row r="658" spans="1:10" x14ac:dyDescent="0.3">
      <c r="A658">
        <v>103.13</v>
      </c>
      <c r="B658">
        <v>42.38</v>
      </c>
      <c r="G658" t="s">
        <v>23</v>
      </c>
      <c r="H658" s="1">
        <v>45295</v>
      </c>
      <c r="I658" s="1">
        <v>45305</v>
      </c>
      <c r="J658">
        <f t="shared" si="11"/>
        <v>10</v>
      </c>
    </row>
    <row r="659" spans="1:10" x14ac:dyDescent="0.3">
      <c r="A659">
        <v>514.80499999999995</v>
      </c>
      <c r="B659">
        <v>40.35</v>
      </c>
      <c r="G659" t="s">
        <v>19</v>
      </c>
      <c r="H659" s="1">
        <v>44966</v>
      </c>
      <c r="I659" s="1">
        <v>44976</v>
      </c>
      <c r="J659">
        <f t="shared" si="11"/>
        <v>10</v>
      </c>
    </row>
    <row r="660" spans="1:10" x14ac:dyDescent="0.3">
      <c r="A660">
        <v>3000.5909999999999</v>
      </c>
      <c r="B660">
        <v>21.88</v>
      </c>
      <c r="G660" t="s">
        <v>21</v>
      </c>
      <c r="H660" s="1">
        <v>45463</v>
      </c>
      <c r="I660" s="1">
        <v>45467</v>
      </c>
      <c r="J660">
        <f t="shared" si="11"/>
        <v>4</v>
      </c>
    </row>
    <row r="661" spans="1:10" x14ac:dyDescent="0.3">
      <c r="A661">
        <v>645.91450000000009</v>
      </c>
      <c r="B661">
        <v>47.95</v>
      </c>
      <c r="G661" t="s">
        <v>22</v>
      </c>
      <c r="H661" s="1">
        <v>44978</v>
      </c>
      <c r="I661" s="1">
        <v>44988</v>
      </c>
      <c r="J661">
        <f t="shared" si="11"/>
        <v>10</v>
      </c>
    </row>
    <row r="662" spans="1:10" x14ac:dyDescent="0.3">
      <c r="A662">
        <v>2557.08</v>
      </c>
      <c r="B662">
        <v>38.590000000000003</v>
      </c>
      <c r="G662" t="s">
        <v>22</v>
      </c>
      <c r="H662" s="1">
        <v>45154</v>
      </c>
      <c r="I662" s="1">
        <v>45162</v>
      </c>
      <c r="J662">
        <f t="shared" si="11"/>
        <v>8</v>
      </c>
    </row>
    <row r="663" spans="1:10" x14ac:dyDescent="0.3">
      <c r="A663">
        <v>1186.4159999999999</v>
      </c>
      <c r="B663">
        <v>16.64</v>
      </c>
      <c r="G663" t="s">
        <v>23</v>
      </c>
      <c r="H663" s="1">
        <v>45233</v>
      </c>
      <c r="I663" s="1">
        <v>45241</v>
      </c>
      <c r="J663">
        <f t="shared" si="11"/>
        <v>8</v>
      </c>
    </row>
    <row r="664" spans="1:10" x14ac:dyDescent="0.3">
      <c r="A664">
        <v>4838.4639999999999</v>
      </c>
      <c r="B664">
        <v>40.78</v>
      </c>
      <c r="G664" t="s">
        <v>20</v>
      </c>
      <c r="H664" s="1">
        <v>45408</v>
      </c>
      <c r="I664" s="1">
        <v>45413</v>
      </c>
      <c r="J664">
        <f t="shared" si="11"/>
        <v>5</v>
      </c>
    </row>
    <row r="665" spans="1:10" x14ac:dyDescent="0.3">
      <c r="A665">
        <v>3415.6484999999998</v>
      </c>
      <c r="B665">
        <v>5.77</v>
      </c>
      <c r="G665" t="s">
        <v>20</v>
      </c>
      <c r="H665" s="1">
        <v>45573</v>
      </c>
      <c r="I665" s="1">
        <v>45582</v>
      </c>
      <c r="J665">
        <f t="shared" si="11"/>
        <v>9</v>
      </c>
    </row>
    <row r="666" spans="1:10" x14ac:dyDescent="0.3">
      <c r="A666">
        <v>3727.0079999999998</v>
      </c>
      <c r="B666">
        <v>46.93</v>
      </c>
      <c r="G666" t="s">
        <v>20</v>
      </c>
      <c r="H666" s="1">
        <v>44935</v>
      </c>
      <c r="I666" s="1">
        <v>44943</v>
      </c>
      <c r="J666">
        <f t="shared" si="11"/>
        <v>8</v>
      </c>
    </row>
    <row r="667" spans="1:10" x14ac:dyDescent="0.3">
      <c r="A667">
        <v>2331.4140000000002</v>
      </c>
      <c r="B667">
        <v>16.43</v>
      </c>
      <c r="G667" t="s">
        <v>21</v>
      </c>
      <c r="H667" s="1">
        <v>45285</v>
      </c>
      <c r="I667" s="1">
        <v>45293</v>
      </c>
      <c r="J667">
        <f t="shared" si="11"/>
        <v>8</v>
      </c>
    </row>
    <row r="668" spans="1:10" x14ac:dyDescent="0.3">
      <c r="A668">
        <v>5265.24</v>
      </c>
      <c r="B668">
        <v>9.31</v>
      </c>
      <c r="G668" t="s">
        <v>22</v>
      </c>
      <c r="H668" s="1">
        <v>45423</v>
      </c>
      <c r="I668" s="1">
        <v>45432</v>
      </c>
      <c r="J668">
        <f t="shared" si="11"/>
        <v>9</v>
      </c>
    </row>
    <row r="669" spans="1:10" x14ac:dyDescent="0.3">
      <c r="A669">
        <v>4817.34</v>
      </c>
      <c r="B669">
        <v>44.48</v>
      </c>
      <c r="G669" t="s">
        <v>23</v>
      </c>
      <c r="H669" s="1">
        <v>45253</v>
      </c>
      <c r="I669" s="1">
        <v>45256</v>
      </c>
      <c r="J669">
        <f t="shared" si="11"/>
        <v>3</v>
      </c>
    </row>
    <row r="670" spans="1:10" x14ac:dyDescent="0.3">
      <c r="A670">
        <v>660.85799999999995</v>
      </c>
      <c r="B670">
        <v>23.91</v>
      </c>
      <c r="G670" t="s">
        <v>22</v>
      </c>
      <c r="H670" s="1">
        <v>45270</v>
      </c>
      <c r="I670" s="1">
        <v>45272</v>
      </c>
      <c r="J670">
        <f t="shared" si="11"/>
        <v>2</v>
      </c>
    </row>
    <row r="671" spans="1:10" x14ac:dyDescent="0.3">
      <c r="A671">
        <v>5239.82</v>
      </c>
      <c r="B671">
        <v>47</v>
      </c>
      <c r="G671" t="s">
        <v>21</v>
      </c>
      <c r="H671" s="1">
        <v>45325</v>
      </c>
      <c r="I671" s="1">
        <v>45327</v>
      </c>
      <c r="J671">
        <f t="shared" si="11"/>
        <v>2</v>
      </c>
    </row>
    <row r="672" spans="1:10" x14ac:dyDescent="0.3">
      <c r="A672">
        <v>3071.16</v>
      </c>
      <c r="B672">
        <v>23.74</v>
      </c>
      <c r="G672" t="s">
        <v>22</v>
      </c>
      <c r="H672" s="1">
        <v>45620</v>
      </c>
      <c r="I672" s="1">
        <v>45630</v>
      </c>
      <c r="J672">
        <f t="shared" si="11"/>
        <v>10</v>
      </c>
    </row>
    <row r="673" spans="1:10" x14ac:dyDescent="0.3">
      <c r="A673">
        <v>324.02850000000001</v>
      </c>
      <c r="B673">
        <v>9.9499999999999993</v>
      </c>
      <c r="G673" t="s">
        <v>23</v>
      </c>
      <c r="H673" s="1">
        <v>45357</v>
      </c>
      <c r="I673" s="1">
        <v>45362</v>
      </c>
      <c r="J673">
        <f t="shared" si="11"/>
        <v>5</v>
      </c>
    </row>
    <row r="674" spans="1:10" x14ac:dyDescent="0.3">
      <c r="A674">
        <v>162.47749999999999</v>
      </c>
      <c r="B674">
        <v>21.06</v>
      </c>
      <c r="G674" t="s">
        <v>20</v>
      </c>
      <c r="H674" s="1">
        <v>45689</v>
      </c>
      <c r="I674" s="1">
        <v>45699</v>
      </c>
      <c r="J674">
        <f t="shared" si="11"/>
        <v>10</v>
      </c>
    </row>
    <row r="675" spans="1:10" x14ac:dyDescent="0.3">
      <c r="A675">
        <v>1581.02</v>
      </c>
      <c r="B675">
        <v>24.48</v>
      </c>
      <c r="G675" t="s">
        <v>22</v>
      </c>
      <c r="H675" s="1">
        <v>45447</v>
      </c>
      <c r="I675" s="1">
        <v>45452</v>
      </c>
      <c r="J675">
        <f t="shared" si="11"/>
        <v>5</v>
      </c>
    </row>
    <row r="676" spans="1:10" x14ac:dyDescent="0.3">
      <c r="A676">
        <v>4164.9519999999993</v>
      </c>
      <c r="B676">
        <v>33.4</v>
      </c>
      <c r="G676" t="s">
        <v>22</v>
      </c>
      <c r="H676" s="1">
        <v>45144</v>
      </c>
      <c r="I676" s="1">
        <v>45151</v>
      </c>
      <c r="J676">
        <f t="shared" si="11"/>
        <v>7</v>
      </c>
    </row>
    <row r="677" spans="1:10" x14ac:dyDescent="0.3">
      <c r="A677">
        <v>8298.6299999999992</v>
      </c>
      <c r="B677">
        <v>47.77</v>
      </c>
      <c r="G677" t="s">
        <v>23</v>
      </c>
      <c r="H677" s="1">
        <v>45107</v>
      </c>
      <c r="I677" s="1">
        <v>45112</v>
      </c>
      <c r="J677">
        <f t="shared" si="11"/>
        <v>5</v>
      </c>
    </row>
    <row r="678" spans="1:10" x14ac:dyDescent="0.3">
      <c r="A678">
        <v>7084.701</v>
      </c>
      <c r="B678">
        <v>17.43</v>
      </c>
      <c r="G678" t="s">
        <v>23</v>
      </c>
      <c r="H678" s="1">
        <v>44972</v>
      </c>
      <c r="I678" s="1">
        <v>44976</v>
      </c>
      <c r="J678">
        <f t="shared" si="11"/>
        <v>4</v>
      </c>
    </row>
    <row r="679" spans="1:10" x14ac:dyDescent="0.3">
      <c r="A679">
        <v>385.47199999999998</v>
      </c>
      <c r="B679">
        <v>12.35</v>
      </c>
      <c r="G679" t="s">
        <v>21</v>
      </c>
      <c r="H679" s="1">
        <v>45314</v>
      </c>
      <c r="I679" s="1">
        <v>45321</v>
      </c>
      <c r="J679">
        <f t="shared" si="11"/>
        <v>7</v>
      </c>
    </row>
    <row r="680" spans="1:10" x14ac:dyDescent="0.3">
      <c r="A680">
        <v>1203.107</v>
      </c>
      <c r="B680">
        <v>42.68</v>
      </c>
      <c r="G680" t="s">
        <v>21</v>
      </c>
      <c r="H680" s="1">
        <v>45596</v>
      </c>
      <c r="I680" s="1">
        <v>45602</v>
      </c>
      <c r="J680">
        <f t="shared" si="11"/>
        <v>6</v>
      </c>
    </row>
    <row r="681" spans="1:10" x14ac:dyDescent="0.3">
      <c r="A681">
        <v>881.44999999999993</v>
      </c>
      <c r="B681">
        <v>33.159999999999997</v>
      </c>
      <c r="G681" t="s">
        <v>22</v>
      </c>
      <c r="H681" s="1">
        <v>45279</v>
      </c>
      <c r="I681" s="1">
        <v>45281</v>
      </c>
      <c r="J681">
        <f t="shared" si="11"/>
        <v>2</v>
      </c>
    </row>
    <row r="682" spans="1:10" x14ac:dyDescent="0.3">
      <c r="A682">
        <v>1396.614</v>
      </c>
      <c r="B682">
        <v>43.47</v>
      </c>
      <c r="G682" t="s">
        <v>20</v>
      </c>
      <c r="H682" s="1">
        <v>45111</v>
      </c>
      <c r="I682" s="1">
        <v>45113</v>
      </c>
      <c r="J682">
        <f t="shared" si="11"/>
        <v>2</v>
      </c>
    </row>
    <row r="683" spans="1:10" x14ac:dyDescent="0.3">
      <c r="A683">
        <v>2076.9155000000001</v>
      </c>
      <c r="B683">
        <v>9.8800000000000008</v>
      </c>
      <c r="G683" t="s">
        <v>19</v>
      </c>
      <c r="H683" s="1">
        <v>45428</v>
      </c>
      <c r="I683" s="1">
        <v>45430</v>
      </c>
      <c r="J683">
        <f t="shared" si="11"/>
        <v>2</v>
      </c>
    </row>
    <row r="684" spans="1:10" x14ac:dyDescent="0.3">
      <c r="A684">
        <v>1638.72</v>
      </c>
      <c r="B684">
        <v>43.4</v>
      </c>
      <c r="G684" t="s">
        <v>21</v>
      </c>
      <c r="H684" s="1">
        <v>45185</v>
      </c>
      <c r="I684" s="1">
        <v>45190</v>
      </c>
      <c r="J684">
        <f t="shared" si="11"/>
        <v>5</v>
      </c>
    </row>
    <row r="685" spans="1:10" x14ac:dyDescent="0.3">
      <c r="A685">
        <v>1610.91</v>
      </c>
      <c r="B685">
        <v>13.86</v>
      </c>
      <c r="G685" t="s">
        <v>19</v>
      </c>
      <c r="H685" s="1">
        <v>45618</v>
      </c>
      <c r="I685" s="1">
        <v>45627</v>
      </c>
      <c r="J685">
        <f t="shared" si="11"/>
        <v>9</v>
      </c>
    </row>
    <row r="686" spans="1:10" x14ac:dyDescent="0.3">
      <c r="A686">
        <v>7465.6350000000002</v>
      </c>
      <c r="B686">
        <v>23.3</v>
      </c>
      <c r="G686" t="s">
        <v>23</v>
      </c>
      <c r="H686" s="1">
        <v>45395</v>
      </c>
      <c r="I686" s="1">
        <v>45403</v>
      </c>
      <c r="J686">
        <f t="shared" si="11"/>
        <v>8</v>
      </c>
    </row>
    <row r="687" spans="1:10" x14ac:dyDescent="0.3">
      <c r="A687">
        <v>5126.76</v>
      </c>
      <c r="B687">
        <v>27</v>
      </c>
      <c r="G687" t="s">
        <v>20</v>
      </c>
      <c r="H687" s="1">
        <v>45473</v>
      </c>
      <c r="I687" s="1">
        <v>45479</v>
      </c>
      <c r="J687">
        <f t="shared" si="11"/>
        <v>6</v>
      </c>
    </row>
    <row r="688" spans="1:10" x14ac:dyDescent="0.3">
      <c r="A688">
        <v>8015.2109999999993</v>
      </c>
      <c r="B688">
        <v>42.63</v>
      </c>
      <c r="G688" t="s">
        <v>21</v>
      </c>
      <c r="H688" s="1">
        <v>45533</v>
      </c>
      <c r="I688" s="1">
        <v>45537</v>
      </c>
      <c r="J688">
        <f t="shared" si="11"/>
        <v>4</v>
      </c>
    </row>
    <row r="689" spans="1:10" x14ac:dyDescent="0.3">
      <c r="A689">
        <v>626.75099999999998</v>
      </c>
      <c r="B689">
        <v>46.65</v>
      </c>
      <c r="G689" t="s">
        <v>22</v>
      </c>
      <c r="H689" s="1">
        <v>45286</v>
      </c>
      <c r="I689" s="1">
        <v>45291</v>
      </c>
      <c r="J689">
        <f t="shared" si="11"/>
        <v>5</v>
      </c>
    </row>
    <row r="690" spans="1:10" x14ac:dyDescent="0.3">
      <c r="A690">
        <v>2743.596</v>
      </c>
      <c r="B690">
        <v>26.74</v>
      </c>
      <c r="G690" t="s">
        <v>21</v>
      </c>
      <c r="H690" s="1">
        <v>45687</v>
      </c>
      <c r="I690" s="1">
        <v>45694</v>
      </c>
      <c r="J690">
        <f t="shared" si="11"/>
        <v>7</v>
      </c>
    </row>
    <row r="691" spans="1:10" x14ac:dyDescent="0.3">
      <c r="A691">
        <v>336.89749999999998</v>
      </c>
      <c r="B691">
        <v>19.89</v>
      </c>
      <c r="G691" t="s">
        <v>20</v>
      </c>
      <c r="H691" s="1">
        <v>45063</v>
      </c>
      <c r="I691" s="1">
        <v>45071</v>
      </c>
      <c r="J691">
        <f t="shared" si="11"/>
        <v>8</v>
      </c>
    </row>
    <row r="692" spans="1:10" x14ac:dyDescent="0.3">
      <c r="A692">
        <v>1659.7439999999999</v>
      </c>
      <c r="B692">
        <v>48.9</v>
      </c>
      <c r="G692" t="s">
        <v>22</v>
      </c>
      <c r="H692" s="1">
        <v>45318</v>
      </c>
      <c r="I692" s="1">
        <v>45327</v>
      </c>
      <c r="J692">
        <f t="shared" si="11"/>
        <v>9</v>
      </c>
    </row>
    <row r="693" spans="1:10" x14ac:dyDescent="0.3">
      <c r="A693">
        <v>1347.03</v>
      </c>
      <c r="B693">
        <v>49.67</v>
      </c>
      <c r="G693" t="s">
        <v>19</v>
      </c>
      <c r="H693" s="1">
        <v>45803</v>
      </c>
      <c r="I693" s="1">
        <v>45810</v>
      </c>
      <c r="J693">
        <f t="shared" si="11"/>
        <v>7</v>
      </c>
    </row>
    <row r="694" spans="1:10" x14ac:dyDescent="0.3">
      <c r="A694">
        <v>506.41</v>
      </c>
      <c r="B694">
        <v>17.899999999999999</v>
      </c>
      <c r="G694" t="s">
        <v>21</v>
      </c>
      <c r="H694" s="1">
        <v>45725</v>
      </c>
      <c r="I694" s="1">
        <v>45733</v>
      </c>
      <c r="J694">
        <f t="shared" si="11"/>
        <v>8</v>
      </c>
    </row>
    <row r="695" spans="1:10" x14ac:dyDescent="0.3">
      <c r="A695">
        <v>1764.09</v>
      </c>
      <c r="B695">
        <v>30.58</v>
      </c>
      <c r="G695" t="s">
        <v>23</v>
      </c>
      <c r="H695" s="1">
        <v>45344</v>
      </c>
      <c r="I695" s="1">
        <v>45354</v>
      </c>
      <c r="J695">
        <f t="shared" si="11"/>
        <v>10</v>
      </c>
    </row>
    <row r="696" spans="1:10" x14ac:dyDescent="0.3">
      <c r="A696">
        <v>4361.01</v>
      </c>
      <c r="B696">
        <v>44.91</v>
      </c>
      <c r="G696" t="s">
        <v>19</v>
      </c>
      <c r="H696" s="1">
        <v>45691</v>
      </c>
      <c r="I696" s="1">
        <v>45696</v>
      </c>
      <c r="J696">
        <f t="shared" si="11"/>
        <v>5</v>
      </c>
    </row>
    <row r="697" spans="1:10" x14ac:dyDescent="0.3">
      <c r="A697">
        <v>4230.9960000000001</v>
      </c>
      <c r="B697">
        <v>18.920000000000002</v>
      </c>
      <c r="G697" t="s">
        <v>22</v>
      </c>
      <c r="H697" s="1">
        <v>45300</v>
      </c>
      <c r="I697" s="1">
        <v>45307</v>
      </c>
      <c r="J697">
        <f t="shared" si="11"/>
        <v>7</v>
      </c>
    </row>
    <row r="698" spans="1:10" x14ac:dyDescent="0.3">
      <c r="A698">
        <v>2500.5329999999999</v>
      </c>
      <c r="B698">
        <v>34.26</v>
      </c>
      <c r="G698" t="s">
        <v>21</v>
      </c>
      <c r="H698" s="1">
        <v>45782</v>
      </c>
      <c r="I698" s="1">
        <v>45791</v>
      </c>
      <c r="J698">
        <f t="shared" si="11"/>
        <v>9</v>
      </c>
    </row>
    <row r="699" spans="1:10" x14ac:dyDescent="0.3">
      <c r="A699">
        <v>2463.8850000000002</v>
      </c>
      <c r="B699">
        <v>24.68</v>
      </c>
      <c r="G699" t="s">
        <v>22</v>
      </c>
      <c r="H699" s="1">
        <v>45033</v>
      </c>
      <c r="I699" s="1">
        <v>45037</v>
      </c>
      <c r="J699">
        <f t="shared" si="11"/>
        <v>4</v>
      </c>
    </row>
    <row r="700" spans="1:10" x14ac:dyDescent="0.3">
      <c r="A700">
        <v>4186.5599999999986</v>
      </c>
      <c r="B700">
        <v>31.28</v>
      </c>
      <c r="G700" t="s">
        <v>20</v>
      </c>
      <c r="H700" s="1">
        <v>45459</v>
      </c>
      <c r="I700" s="1">
        <v>45464</v>
      </c>
      <c r="J700">
        <f t="shared" si="11"/>
        <v>5</v>
      </c>
    </row>
    <row r="701" spans="1:10" x14ac:dyDescent="0.3">
      <c r="A701">
        <v>7290.45</v>
      </c>
      <c r="B701">
        <v>14.9</v>
      </c>
      <c r="G701" t="s">
        <v>20</v>
      </c>
      <c r="H701" s="1">
        <v>45597</v>
      </c>
      <c r="I701" s="1">
        <v>45600</v>
      </c>
      <c r="J701">
        <f t="shared" si="11"/>
        <v>3</v>
      </c>
    </row>
    <row r="702" spans="1:10" x14ac:dyDescent="0.3">
      <c r="A702">
        <v>1893.171</v>
      </c>
      <c r="B702">
        <v>27.05</v>
      </c>
      <c r="G702" t="s">
        <v>19</v>
      </c>
      <c r="H702" s="1">
        <v>45695</v>
      </c>
      <c r="I702" s="1">
        <v>45698</v>
      </c>
      <c r="J702">
        <f t="shared" si="11"/>
        <v>3</v>
      </c>
    </row>
    <row r="703" spans="1:10" x14ac:dyDescent="0.3">
      <c r="A703">
        <v>1772.6579999999999</v>
      </c>
      <c r="B703">
        <v>21.23</v>
      </c>
      <c r="G703" t="s">
        <v>20</v>
      </c>
      <c r="H703" s="1">
        <v>45620</v>
      </c>
      <c r="I703" s="1">
        <v>45630</v>
      </c>
      <c r="J703">
        <f t="shared" si="11"/>
        <v>10</v>
      </c>
    </row>
    <row r="704" spans="1:10" x14ac:dyDescent="0.3">
      <c r="A704">
        <v>5716.75</v>
      </c>
      <c r="B704">
        <v>12.23</v>
      </c>
      <c r="G704" t="s">
        <v>22</v>
      </c>
      <c r="H704" s="1">
        <v>45405</v>
      </c>
      <c r="I704" s="1">
        <v>45414</v>
      </c>
      <c r="J704">
        <f t="shared" si="11"/>
        <v>9</v>
      </c>
    </row>
    <row r="705" spans="1:10" x14ac:dyDescent="0.3">
      <c r="A705">
        <v>2269.4265</v>
      </c>
      <c r="B705">
        <v>40.18</v>
      </c>
      <c r="G705" t="s">
        <v>19</v>
      </c>
      <c r="H705" s="1">
        <v>45467</v>
      </c>
      <c r="I705" s="1">
        <v>45470</v>
      </c>
      <c r="J705">
        <f t="shared" si="11"/>
        <v>3</v>
      </c>
    </row>
    <row r="706" spans="1:10" x14ac:dyDescent="0.3">
      <c r="A706">
        <v>3135.0239999999999</v>
      </c>
      <c r="B706">
        <v>5.55</v>
      </c>
      <c r="G706" t="s">
        <v>23</v>
      </c>
      <c r="H706" s="1">
        <v>45809</v>
      </c>
      <c r="I706" s="1">
        <v>45815</v>
      </c>
      <c r="J706">
        <f t="shared" si="11"/>
        <v>6</v>
      </c>
    </row>
    <row r="707" spans="1:10" x14ac:dyDescent="0.3">
      <c r="A707">
        <v>532.20000000000005</v>
      </c>
      <c r="B707">
        <v>16.98</v>
      </c>
      <c r="G707" t="s">
        <v>23</v>
      </c>
      <c r="H707" s="1">
        <v>44997</v>
      </c>
      <c r="I707" s="1">
        <v>44999</v>
      </c>
      <c r="J707">
        <f t="shared" ref="J707:J770" si="12">I707-H707</f>
        <v>2</v>
      </c>
    </row>
    <row r="708" spans="1:10" x14ac:dyDescent="0.3">
      <c r="A708">
        <v>479.38</v>
      </c>
      <c r="B708">
        <v>28.96</v>
      </c>
      <c r="G708" t="s">
        <v>22</v>
      </c>
      <c r="H708" s="1">
        <v>45607</v>
      </c>
      <c r="I708" s="1">
        <v>45615</v>
      </c>
      <c r="J708">
        <f t="shared" si="12"/>
        <v>8</v>
      </c>
    </row>
    <row r="709" spans="1:10" x14ac:dyDescent="0.3">
      <c r="A709">
        <v>286.488</v>
      </c>
      <c r="B709">
        <v>46.16</v>
      </c>
      <c r="G709" t="s">
        <v>22</v>
      </c>
      <c r="H709" s="1">
        <v>45582</v>
      </c>
      <c r="I709" s="1">
        <v>45591</v>
      </c>
      <c r="J709">
        <f t="shared" si="12"/>
        <v>9</v>
      </c>
    </row>
    <row r="710" spans="1:10" x14ac:dyDescent="0.3">
      <c r="A710">
        <v>3536.28</v>
      </c>
      <c r="B710">
        <v>39.25</v>
      </c>
      <c r="G710" t="s">
        <v>19</v>
      </c>
      <c r="H710" s="1">
        <v>45056</v>
      </c>
      <c r="I710" s="1">
        <v>45059</v>
      </c>
      <c r="J710">
        <f t="shared" si="12"/>
        <v>3</v>
      </c>
    </row>
    <row r="711" spans="1:10" x14ac:dyDescent="0.3">
      <c r="A711">
        <v>3164.58</v>
      </c>
      <c r="B711">
        <v>26.97</v>
      </c>
      <c r="G711" t="s">
        <v>19</v>
      </c>
      <c r="H711" s="1">
        <v>45136</v>
      </c>
      <c r="I711" s="1">
        <v>45145</v>
      </c>
      <c r="J711">
        <f t="shared" si="12"/>
        <v>9</v>
      </c>
    </row>
    <row r="712" spans="1:10" x14ac:dyDescent="0.3">
      <c r="A712">
        <v>6513.5839999999998</v>
      </c>
      <c r="B712">
        <v>25.24</v>
      </c>
      <c r="G712" t="s">
        <v>22</v>
      </c>
      <c r="H712" s="1">
        <v>45164</v>
      </c>
      <c r="I712" s="1">
        <v>45167</v>
      </c>
      <c r="J712">
        <f t="shared" si="12"/>
        <v>3</v>
      </c>
    </row>
    <row r="713" spans="1:10" x14ac:dyDescent="0.3">
      <c r="A713">
        <v>6765.1399999999994</v>
      </c>
      <c r="B713">
        <v>41.67</v>
      </c>
      <c r="G713" t="s">
        <v>19</v>
      </c>
      <c r="H713" s="1">
        <v>45288</v>
      </c>
      <c r="I713" s="1">
        <v>45294</v>
      </c>
      <c r="J713">
        <f t="shared" si="12"/>
        <v>6</v>
      </c>
    </row>
    <row r="714" spans="1:10" x14ac:dyDescent="0.3">
      <c r="A714">
        <v>3884.2109999999998</v>
      </c>
      <c r="B714">
        <v>22.08</v>
      </c>
      <c r="G714" t="s">
        <v>21</v>
      </c>
      <c r="H714" s="1">
        <v>45726</v>
      </c>
      <c r="I714" s="1">
        <v>45733</v>
      </c>
      <c r="J714">
        <f t="shared" si="12"/>
        <v>7</v>
      </c>
    </row>
    <row r="715" spans="1:10" x14ac:dyDescent="0.3">
      <c r="A715">
        <v>190.02600000000001</v>
      </c>
      <c r="B715">
        <v>37.840000000000003</v>
      </c>
      <c r="G715" t="s">
        <v>22</v>
      </c>
      <c r="H715" s="1">
        <v>45178</v>
      </c>
      <c r="I715" s="1">
        <v>45183</v>
      </c>
      <c r="J715">
        <f t="shared" si="12"/>
        <v>5</v>
      </c>
    </row>
    <row r="716" spans="1:10" x14ac:dyDescent="0.3">
      <c r="A716">
        <v>529.68600000000004</v>
      </c>
      <c r="B716">
        <v>9.0500000000000007</v>
      </c>
      <c r="G716" t="s">
        <v>21</v>
      </c>
      <c r="H716" s="1">
        <v>45074</v>
      </c>
      <c r="I716" s="1">
        <v>45078</v>
      </c>
      <c r="J716">
        <f t="shared" si="12"/>
        <v>4</v>
      </c>
    </row>
    <row r="717" spans="1:10" x14ac:dyDescent="0.3">
      <c r="A717">
        <v>271.56650000000002</v>
      </c>
      <c r="B717">
        <v>18.100000000000001</v>
      </c>
      <c r="G717" t="s">
        <v>23</v>
      </c>
      <c r="H717" s="1">
        <v>45798</v>
      </c>
      <c r="I717" s="1">
        <v>45808</v>
      </c>
      <c r="J717">
        <f t="shared" si="12"/>
        <v>10</v>
      </c>
    </row>
    <row r="718" spans="1:10" x14ac:dyDescent="0.3">
      <c r="A718">
        <v>3244.6680000000001</v>
      </c>
      <c r="B718">
        <v>13.24</v>
      </c>
      <c r="G718" t="s">
        <v>19</v>
      </c>
      <c r="H718" s="1">
        <v>45199</v>
      </c>
      <c r="I718" s="1">
        <v>45203</v>
      </c>
      <c r="J718">
        <f t="shared" si="12"/>
        <v>4</v>
      </c>
    </row>
    <row r="719" spans="1:10" x14ac:dyDescent="0.3">
      <c r="A719">
        <v>261.79199999999997</v>
      </c>
      <c r="B719">
        <v>6.11</v>
      </c>
      <c r="G719" t="s">
        <v>20</v>
      </c>
      <c r="H719" s="1">
        <v>45573</v>
      </c>
      <c r="I719" s="1">
        <v>45578</v>
      </c>
      <c r="J719">
        <f t="shared" si="12"/>
        <v>5</v>
      </c>
    </row>
    <row r="720" spans="1:10" x14ac:dyDescent="0.3">
      <c r="A720">
        <v>1749.4</v>
      </c>
      <c r="B720">
        <v>48.48</v>
      </c>
      <c r="G720" t="s">
        <v>19</v>
      </c>
      <c r="H720" s="1">
        <v>45030</v>
      </c>
      <c r="I720" s="1">
        <v>45039</v>
      </c>
      <c r="J720">
        <f t="shared" si="12"/>
        <v>9</v>
      </c>
    </row>
    <row r="721" spans="1:10" x14ac:dyDescent="0.3">
      <c r="A721">
        <v>7123.6800000000012</v>
      </c>
      <c r="B721">
        <v>7.76</v>
      </c>
      <c r="G721" t="s">
        <v>20</v>
      </c>
      <c r="H721" s="1">
        <v>44990</v>
      </c>
      <c r="I721" s="1">
        <v>44995</v>
      </c>
      <c r="J721">
        <f t="shared" si="12"/>
        <v>5</v>
      </c>
    </row>
    <row r="722" spans="1:10" x14ac:dyDescent="0.3">
      <c r="A722">
        <v>4511.9870000000001</v>
      </c>
      <c r="B722">
        <v>30.3</v>
      </c>
      <c r="G722" t="s">
        <v>21</v>
      </c>
      <c r="H722" s="1">
        <v>45490</v>
      </c>
      <c r="I722" s="1">
        <v>45493</v>
      </c>
      <c r="J722">
        <f t="shared" si="12"/>
        <v>3</v>
      </c>
    </row>
    <row r="723" spans="1:10" x14ac:dyDescent="0.3">
      <c r="A723">
        <v>6158.5920000000006</v>
      </c>
      <c r="B723">
        <v>18.72</v>
      </c>
      <c r="G723" t="s">
        <v>21</v>
      </c>
      <c r="H723" s="1">
        <v>45432</v>
      </c>
      <c r="I723" s="1">
        <v>45441</v>
      </c>
      <c r="J723">
        <f t="shared" si="12"/>
        <v>9</v>
      </c>
    </row>
    <row r="724" spans="1:10" x14ac:dyDescent="0.3">
      <c r="A724">
        <v>3803.3550000000009</v>
      </c>
      <c r="B724">
        <v>36.869999999999997</v>
      </c>
      <c r="G724" t="s">
        <v>21</v>
      </c>
      <c r="H724" s="1">
        <v>45783</v>
      </c>
      <c r="I724" s="1">
        <v>45787</v>
      </c>
      <c r="J724">
        <f t="shared" si="12"/>
        <v>4</v>
      </c>
    </row>
    <row r="725" spans="1:10" x14ac:dyDescent="0.3">
      <c r="A725">
        <v>2775</v>
      </c>
      <c r="B725">
        <v>29.31</v>
      </c>
      <c r="G725" t="s">
        <v>21</v>
      </c>
      <c r="H725" s="1">
        <v>44941</v>
      </c>
      <c r="I725" s="1">
        <v>44943</v>
      </c>
      <c r="J725">
        <f t="shared" si="12"/>
        <v>2</v>
      </c>
    </row>
    <row r="726" spans="1:10" x14ac:dyDescent="0.3">
      <c r="A726">
        <v>6512.0219999999999</v>
      </c>
      <c r="B726">
        <v>48.73</v>
      </c>
      <c r="G726" t="s">
        <v>22</v>
      </c>
      <c r="H726" s="1">
        <v>45300</v>
      </c>
      <c r="I726" s="1">
        <v>45303</v>
      </c>
      <c r="J726">
        <f t="shared" si="12"/>
        <v>3</v>
      </c>
    </row>
    <row r="727" spans="1:10" x14ac:dyDescent="0.3">
      <c r="A727">
        <v>1512.558</v>
      </c>
      <c r="B727">
        <v>47.14</v>
      </c>
      <c r="G727" t="s">
        <v>20</v>
      </c>
      <c r="H727" s="1">
        <v>45119</v>
      </c>
      <c r="I727" s="1">
        <v>45128</v>
      </c>
      <c r="J727">
        <f t="shared" si="12"/>
        <v>9</v>
      </c>
    </row>
    <row r="728" spans="1:10" x14ac:dyDescent="0.3">
      <c r="A728">
        <v>3928.7534999999989</v>
      </c>
      <c r="B728">
        <v>41.39</v>
      </c>
      <c r="G728" t="s">
        <v>19</v>
      </c>
      <c r="H728" s="1">
        <v>45829</v>
      </c>
      <c r="I728" s="1">
        <v>45834</v>
      </c>
      <c r="J728">
        <f t="shared" si="12"/>
        <v>5</v>
      </c>
    </row>
    <row r="729" spans="1:10" x14ac:dyDescent="0.3">
      <c r="A729">
        <v>155.61000000000001</v>
      </c>
      <c r="B729">
        <v>27.1</v>
      </c>
      <c r="G729" t="s">
        <v>21</v>
      </c>
      <c r="H729" s="1">
        <v>45655</v>
      </c>
      <c r="I729" s="1">
        <v>45659</v>
      </c>
      <c r="J729">
        <f t="shared" si="12"/>
        <v>4</v>
      </c>
    </row>
    <row r="730" spans="1:10" x14ac:dyDescent="0.3">
      <c r="A730">
        <v>3746.7809999999999</v>
      </c>
      <c r="B730">
        <v>22.73</v>
      </c>
      <c r="G730" t="s">
        <v>23</v>
      </c>
      <c r="H730" s="1">
        <v>45069</v>
      </c>
      <c r="I730" s="1">
        <v>45075</v>
      </c>
      <c r="J730">
        <f t="shared" si="12"/>
        <v>6</v>
      </c>
    </row>
    <row r="731" spans="1:10" x14ac:dyDescent="0.3">
      <c r="A731">
        <v>382.09500000000003</v>
      </c>
      <c r="B731">
        <v>29.06</v>
      </c>
      <c r="G731" t="s">
        <v>22</v>
      </c>
      <c r="H731" s="1">
        <v>45385</v>
      </c>
      <c r="I731" s="1">
        <v>45391</v>
      </c>
      <c r="J731">
        <f t="shared" si="12"/>
        <v>6</v>
      </c>
    </row>
    <row r="732" spans="1:10" x14ac:dyDescent="0.3">
      <c r="A732">
        <v>2029.2929999999999</v>
      </c>
      <c r="B732">
        <v>19.91</v>
      </c>
      <c r="G732" t="s">
        <v>19</v>
      </c>
      <c r="H732" s="1">
        <v>45308</v>
      </c>
      <c r="I732" s="1">
        <v>45318</v>
      </c>
      <c r="J732">
        <f t="shared" si="12"/>
        <v>10</v>
      </c>
    </row>
    <row r="733" spans="1:10" x14ac:dyDescent="0.3">
      <c r="A733">
        <v>417.52800000000002</v>
      </c>
      <c r="B733">
        <v>32.659999999999997</v>
      </c>
      <c r="G733" t="s">
        <v>22</v>
      </c>
      <c r="H733" s="1">
        <v>45752</v>
      </c>
      <c r="I733" s="1">
        <v>45761</v>
      </c>
      <c r="J733">
        <f t="shared" si="12"/>
        <v>9</v>
      </c>
    </row>
    <row r="734" spans="1:10" x14ac:dyDescent="0.3">
      <c r="A734">
        <v>3086.392499999999</v>
      </c>
      <c r="B734">
        <v>19.18</v>
      </c>
      <c r="G734" t="s">
        <v>22</v>
      </c>
      <c r="H734" s="1">
        <v>45764</v>
      </c>
      <c r="I734" s="1">
        <v>45770</v>
      </c>
      <c r="J734">
        <f t="shared" si="12"/>
        <v>6</v>
      </c>
    </row>
    <row r="735" spans="1:10" x14ac:dyDescent="0.3">
      <c r="A735">
        <v>91.238</v>
      </c>
      <c r="B735">
        <v>25.81</v>
      </c>
      <c r="G735" t="s">
        <v>22</v>
      </c>
      <c r="H735" s="1">
        <v>45577</v>
      </c>
      <c r="I735" s="1">
        <v>45580</v>
      </c>
      <c r="J735">
        <f t="shared" si="12"/>
        <v>3</v>
      </c>
    </row>
    <row r="736" spans="1:10" x14ac:dyDescent="0.3">
      <c r="A736">
        <v>480.85199999999998</v>
      </c>
      <c r="B736">
        <v>31.3</v>
      </c>
      <c r="G736" t="s">
        <v>22</v>
      </c>
      <c r="H736" s="1">
        <v>45500</v>
      </c>
      <c r="I736" s="1">
        <v>45505</v>
      </c>
      <c r="J736">
        <f t="shared" si="12"/>
        <v>5</v>
      </c>
    </row>
    <row r="737" spans="1:10" x14ac:dyDescent="0.3">
      <c r="A737">
        <v>250.2825</v>
      </c>
      <c r="B737">
        <v>46.37</v>
      </c>
      <c r="G737" t="s">
        <v>23</v>
      </c>
      <c r="H737" s="1">
        <v>45667</v>
      </c>
      <c r="I737" s="1">
        <v>45675</v>
      </c>
      <c r="J737">
        <f t="shared" si="12"/>
        <v>8</v>
      </c>
    </row>
    <row r="738" spans="1:10" x14ac:dyDescent="0.3">
      <c r="A738">
        <v>705.09</v>
      </c>
      <c r="B738">
        <v>24.34</v>
      </c>
      <c r="G738" t="s">
        <v>20</v>
      </c>
      <c r="H738" s="1">
        <v>45498</v>
      </c>
      <c r="I738" s="1">
        <v>45504</v>
      </c>
      <c r="J738">
        <f t="shared" si="12"/>
        <v>6</v>
      </c>
    </row>
    <row r="739" spans="1:10" x14ac:dyDescent="0.3">
      <c r="A739">
        <v>1449.0360000000001</v>
      </c>
      <c r="B739">
        <v>35.69</v>
      </c>
      <c r="G739" t="s">
        <v>23</v>
      </c>
      <c r="H739" s="1">
        <v>45434</v>
      </c>
      <c r="I739" s="1">
        <v>45437</v>
      </c>
      <c r="J739">
        <f t="shared" si="12"/>
        <v>3</v>
      </c>
    </row>
    <row r="740" spans="1:10" x14ac:dyDescent="0.3">
      <c r="A740">
        <v>2010.3140000000001</v>
      </c>
      <c r="B740">
        <v>25.96</v>
      </c>
      <c r="G740" t="s">
        <v>22</v>
      </c>
      <c r="H740" s="1">
        <v>45514</v>
      </c>
      <c r="I740" s="1">
        <v>45524</v>
      </c>
      <c r="J740">
        <f t="shared" si="12"/>
        <v>10</v>
      </c>
    </row>
    <row r="741" spans="1:10" x14ac:dyDescent="0.3">
      <c r="A741">
        <v>203.90799999999999</v>
      </c>
      <c r="B741">
        <v>47.33</v>
      </c>
      <c r="G741" t="s">
        <v>23</v>
      </c>
      <c r="H741" s="1">
        <v>45043</v>
      </c>
      <c r="I741" s="1">
        <v>45045</v>
      </c>
      <c r="J741">
        <f t="shared" si="12"/>
        <v>2</v>
      </c>
    </row>
    <row r="742" spans="1:10" x14ac:dyDescent="0.3">
      <c r="A742">
        <v>475.91199999999998</v>
      </c>
      <c r="B742">
        <v>42.1</v>
      </c>
      <c r="G742" t="s">
        <v>20</v>
      </c>
      <c r="H742" s="1">
        <v>45098</v>
      </c>
      <c r="I742" s="1">
        <v>45102</v>
      </c>
      <c r="J742">
        <f t="shared" si="12"/>
        <v>4</v>
      </c>
    </row>
    <row r="743" spans="1:10" x14ac:dyDescent="0.3">
      <c r="A743">
        <v>8878.9470000000001</v>
      </c>
      <c r="B743">
        <v>44.42</v>
      </c>
      <c r="G743" t="s">
        <v>23</v>
      </c>
      <c r="H743" s="1">
        <v>45576</v>
      </c>
      <c r="I743" s="1">
        <v>45579</v>
      </c>
      <c r="J743">
        <f t="shared" si="12"/>
        <v>3</v>
      </c>
    </row>
    <row r="744" spans="1:10" x14ac:dyDescent="0.3">
      <c r="A744">
        <v>166.7535</v>
      </c>
      <c r="B744">
        <v>23.57</v>
      </c>
      <c r="G744" t="s">
        <v>21</v>
      </c>
      <c r="H744" s="1">
        <v>45683</v>
      </c>
      <c r="I744" s="1">
        <v>45687</v>
      </c>
      <c r="J744">
        <f t="shared" si="12"/>
        <v>4</v>
      </c>
    </row>
    <row r="745" spans="1:10" x14ac:dyDescent="0.3">
      <c r="A745">
        <v>7712.4240000000009</v>
      </c>
      <c r="B745">
        <v>26.47</v>
      </c>
      <c r="G745" t="s">
        <v>20</v>
      </c>
      <c r="H745" s="1">
        <v>45461</v>
      </c>
      <c r="I745" s="1">
        <v>45469</v>
      </c>
      <c r="J745">
        <f t="shared" si="12"/>
        <v>8</v>
      </c>
    </row>
    <row r="746" spans="1:10" x14ac:dyDescent="0.3">
      <c r="A746">
        <v>7133.71</v>
      </c>
      <c r="B746">
        <v>17.399999999999999</v>
      </c>
      <c r="G746" t="s">
        <v>19</v>
      </c>
      <c r="H746" s="1">
        <v>45826</v>
      </c>
      <c r="I746" s="1">
        <v>45832</v>
      </c>
      <c r="J746">
        <f t="shared" si="12"/>
        <v>6</v>
      </c>
    </row>
    <row r="747" spans="1:10" x14ac:dyDescent="0.3">
      <c r="A747">
        <v>507.98399999999998</v>
      </c>
      <c r="B747">
        <v>21.36</v>
      </c>
      <c r="G747" t="s">
        <v>20</v>
      </c>
      <c r="H747" s="1">
        <v>45594</v>
      </c>
      <c r="I747" s="1">
        <v>45603</v>
      </c>
      <c r="J747">
        <f t="shared" si="12"/>
        <v>9</v>
      </c>
    </row>
    <row r="748" spans="1:10" x14ac:dyDescent="0.3">
      <c r="A748">
        <v>596.12</v>
      </c>
      <c r="B748">
        <v>35.369999999999997</v>
      </c>
      <c r="G748" t="s">
        <v>22</v>
      </c>
      <c r="H748" s="1">
        <v>45755</v>
      </c>
      <c r="I748" s="1">
        <v>45761</v>
      </c>
      <c r="J748">
        <f t="shared" si="12"/>
        <v>6</v>
      </c>
    </row>
    <row r="749" spans="1:10" x14ac:dyDescent="0.3">
      <c r="A749">
        <v>1642.1795</v>
      </c>
      <c r="B749">
        <v>42.87</v>
      </c>
      <c r="G749" t="s">
        <v>22</v>
      </c>
      <c r="H749" s="1">
        <v>44957</v>
      </c>
      <c r="I749" s="1">
        <v>44962</v>
      </c>
      <c r="J749">
        <f t="shared" si="12"/>
        <v>5</v>
      </c>
    </row>
    <row r="750" spans="1:10" x14ac:dyDescent="0.3">
      <c r="A750">
        <v>6001.1280000000006</v>
      </c>
      <c r="B750">
        <v>22.11</v>
      </c>
      <c r="G750" t="s">
        <v>23</v>
      </c>
      <c r="H750" s="1">
        <v>45366</v>
      </c>
      <c r="I750" s="1">
        <v>45371</v>
      </c>
      <c r="J750">
        <f t="shared" si="12"/>
        <v>5</v>
      </c>
    </row>
    <row r="751" spans="1:10" x14ac:dyDescent="0.3">
      <c r="A751">
        <v>4482.1759999999986</v>
      </c>
      <c r="B751">
        <v>17.190000000000001</v>
      </c>
      <c r="G751" t="s">
        <v>21</v>
      </c>
      <c r="H751" s="1">
        <v>45100</v>
      </c>
      <c r="I751" s="1">
        <v>45104</v>
      </c>
      <c r="J751">
        <f t="shared" si="12"/>
        <v>4</v>
      </c>
    </row>
    <row r="752" spans="1:10" x14ac:dyDescent="0.3">
      <c r="A752">
        <v>9625.8845000000001</v>
      </c>
      <c r="B752">
        <v>31.95</v>
      </c>
      <c r="G752" t="s">
        <v>21</v>
      </c>
      <c r="H752" s="1">
        <v>45457</v>
      </c>
      <c r="I752" s="1">
        <v>45466</v>
      </c>
      <c r="J752">
        <f t="shared" si="12"/>
        <v>9</v>
      </c>
    </row>
    <row r="753" spans="1:10" x14ac:dyDescent="0.3">
      <c r="A753">
        <v>1094.4000000000001</v>
      </c>
      <c r="B753">
        <v>49.49</v>
      </c>
      <c r="G753" t="s">
        <v>23</v>
      </c>
      <c r="H753" s="1">
        <v>45260</v>
      </c>
      <c r="I753" s="1">
        <v>45269</v>
      </c>
      <c r="J753">
        <f t="shared" si="12"/>
        <v>9</v>
      </c>
    </row>
    <row r="754" spans="1:10" x14ac:dyDescent="0.3">
      <c r="A754">
        <v>3809.0250000000001</v>
      </c>
      <c r="B754">
        <v>17.46</v>
      </c>
      <c r="G754" t="s">
        <v>21</v>
      </c>
      <c r="H754" s="1">
        <v>45403</v>
      </c>
      <c r="I754" s="1">
        <v>45412</v>
      </c>
      <c r="J754">
        <f t="shared" si="12"/>
        <v>9</v>
      </c>
    </row>
    <row r="755" spans="1:10" x14ac:dyDescent="0.3">
      <c r="A755">
        <v>2484.8389999999999</v>
      </c>
      <c r="B755">
        <v>46.33</v>
      </c>
      <c r="G755" t="s">
        <v>19</v>
      </c>
      <c r="H755" s="1">
        <v>45144</v>
      </c>
      <c r="I755" s="1">
        <v>45150</v>
      </c>
      <c r="J755">
        <f t="shared" si="12"/>
        <v>6</v>
      </c>
    </row>
    <row r="756" spans="1:10" x14ac:dyDescent="0.3">
      <c r="A756">
        <v>2116.1770000000001</v>
      </c>
      <c r="B756">
        <v>28.77</v>
      </c>
      <c r="G756" t="s">
        <v>23</v>
      </c>
      <c r="H756" s="1">
        <v>45464</v>
      </c>
      <c r="I756" s="1">
        <v>45470</v>
      </c>
      <c r="J756">
        <f t="shared" si="12"/>
        <v>6</v>
      </c>
    </row>
    <row r="757" spans="1:10" x14ac:dyDescent="0.3">
      <c r="A757">
        <v>2811.348</v>
      </c>
      <c r="B757">
        <v>14.58</v>
      </c>
      <c r="G757" t="s">
        <v>21</v>
      </c>
      <c r="H757" s="1">
        <v>45732</v>
      </c>
      <c r="I757" s="1">
        <v>45740</v>
      </c>
      <c r="J757">
        <f t="shared" si="12"/>
        <v>8</v>
      </c>
    </row>
    <row r="758" spans="1:10" x14ac:dyDescent="0.3">
      <c r="A758">
        <v>3153.415</v>
      </c>
      <c r="B758">
        <v>11.16</v>
      </c>
      <c r="G758" t="s">
        <v>23</v>
      </c>
      <c r="H758" s="1">
        <v>45402</v>
      </c>
      <c r="I758" s="1">
        <v>45407</v>
      </c>
      <c r="J758">
        <f t="shared" si="12"/>
        <v>5</v>
      </c>
    </row>
    <row r="759" spans="1:10" x14ac:dyDescent="0.3">
      <c r="A759">
        <v>987.69600000000003</v>
      </c>
      <c r="B759">
        <v>26.35</v>
      </c>
      <c r="G759" t="s">
        <v>19</v>
      </c>
      <c r="H759" s="1">
        <v>45646</v>
      </c>
      <c r="I759" s="1">
        <v>45655</v>
      </c>
      <c r="J759">
        <f t="shared" si="12"/>
        <v>9</v>
      </c>
    </row>
    <row r="760" spans="1:10" x14ac:dyDescent="0.3">
      <c r="A760">
        <v>2748.24</v>
      </c>
      <c r="B760">
        <v>16.100000000000001</v>
      </c>
      <c r="G760" t="s">
        <v>21</v>
      </c>
      <c r="H760" s="1">
        <v>45160</v>
      </c>
      <c r="I760" s="1">
        <v>45170</v>
      </c>
      <c r="J760">
        <f t="shared" si="12"/>
        <v>10</v>
      </c>
    </row>
    <row r="761" spans="1:10" x14ac:dyDescent="0.3">
      <c r="A761">
        <v>5467.3190000000004</v>
      </c>
      <c r="B761">
        <v>5.85</v>
      </c>
      <c r="G761" t="s">
        <v>21</v>
      </c>
      <c r="H761" s="1">
        <v>44989</v>
      </c>
      <c r="I761" s="1">
        <v>44998</v>
      </c>
      <c r="J761">
        <f t="shared" si="12"/>
        <v>9</v>
      </c>
    </row>
    <row r="762" spans="1:10" x14ac:dyDescent="0.3">
      <c r="A762">
        <v>296.62200000000001</v>
      </c>
      <c r="B762">
        <v>29.9</v>
      </c>
      <c r="G762" t="s">
        <v>21</v>
      </c>
      <c r="H762" s="1">
        <v>45467</v>
      </c>
      <c r="I762" s="1">
        <v>45474</v>
      </c>
      <c r="J762">
        <f t="shared" si="12"/>
        <v>7</v>
      </c>
    </row>
    <row r="763" spans="1:10" x14ac:dyDescent="0.3">
      <c r="A763">
        <v>3026.8</v>
      </c>
      <c r="B763">
        <v>14.39</v>
      </c>
      <c r="G763" t="s">
        <v>19</v>
      </c>
      <c r="H763" s="1">
        <v>45635</v>
      </c>
      <c r="I763" s="1">
        <v>45639</v>
      </c>
      <c r="J763">
        <f t="shared" si="12"/>
        <v>4</v>
      </c>
    </row>
    <row r="764" spans="1:10" x14ac:dyDescent="0.3">
      <c r="A764">
        <v>1347.9455</v>
      </c>
      <c r="B764">
        <v>38.58</v>
      </c>
      <c r="G764" t="s">
        <v>23</v>
      </c>
      <c r="H764" s="1">
        <v>45477</v>
      </c>
      <c r="I764" s="1">
        <v>45480</v>
      </c>
      <c r="J764">
        <f t="shared" si="12"/>
        <v>3</v>
      </c>
    </row>
    <row r="765" spans="1:10" x14ac:dyDescent="0.3">
      <c r="A765">
        <v>1712.0785000000001</v>
      </c>
      <c r="B765">
        <v>41.83</v>
      </c>
      <c r="G765" t="s">
        <v>19</v>
      </c>
      <c r="H765" s="1">
        <v>45720</v>
      </c>
      <c r="I765" s="1">
        <v>45722</v>
      </c>
      <c r="J765">
        <f t="shared" si="12"/>
        <v>2</v>
      </c>
    </row>
    <row r="766" spans="1:10" x14ac:dyDescent="0.3">
      <c r="A766">
        <v>2904.5774999999999</v>
      </c>
      <c r="B766">
        <v>44.04</v>
      </c>
      <c r="G766" t="s">
        <v>19</v>
      </c>
      <c r="H766" s="1">
        <v>45313</v>
      </c>
      <c r="I766" s="1">
        <v>45320</v>
      </c>
      <c r="J766">
        <f t="shared" si="12"/>
        <v>7</v>
      </c>
    </row>
    <row r="767" spans="1:10" x14ac:dyDescent="0.3">
      <c r="A767">
        <v>7369.2640000000001</v>
      </c>
      <c r="B767">
        <v>36.72</v>
      </c>
      <c r="G767" t="s">
        <v>19</v>
      </c>
      <c r="H767" s="1">
        <v>45728</v>
      </c>
      <c r="I767" s="1">
        <v>45737</v>
      </c>
      <c r="J767">
        <f t="shared" si="12"/>
        <v>9</v>
      </c>
    </row>
    <row r="768" spans="1:10" x14ac:dyDescent="0.3">
      <c r="A768">
        <v>332.31</v>
      </c>
      <c r="B768">
        <v>25.27</v>
      </c>
      <c r="G768" t="s">
        <v>22</v>
      </c>
      <c r="H768" s="1">
        <v>45716</v>
      </c>
      <c r="I768" s="1">
        <v>45719</v>
      </c>
      <c r="J768">
        <f t="shared" si="12"/>
        <v>3</v>
      </c>
    </row>
    <row r="769" spans="1:10" x14ac:dyDescent="0.3">
      <c r="A769">
        <v>79.647999999999996</v>
      </c>
      <c r="B769">
        <v>33.67</v>
      </c>
      <c r="G769" t="s">
        <v>19</v>
      </c>
      <c r="H769" s="1">
        <v>45435</v>
      </c>
      <c r="I769" s="1">
        <v>45443</v>
      </c>
      <c r="J769">
        <f t="shared" si="12"/>
        <v>8</v>
      </c>
    </row>
    <row r="770" spans="1:10" x14ac:dyDescent="0.3">
      <c r="A770">
        <v>2262.1590000000001</v>
      </c>
      <c r="B770">
        <v>24.3</v>
      </c>
      <c r="G770" t="s">
        <v>21</v>
      </c>
      <c r="H770" s="1">
        <v>45186</v>
      </c>
      <c r="I770" s="1">
        <v>45189</v>
      </c>
      <c r="J770">
        <f t="shared" si="12"/>
        <v>3</v>
      </c>
    </row>
    <row r="771" spans="1:10" x14ac:dyDescent="0.3">
      <c r="A771">
        <v>3414.0149999999999</v>
      </c>
      <c r="B771">
        <v>35.119999999999997</v>
      </c>
      <c r="G771" t="s">
        <v>19</v>
      </c>
      <c r="H771" s="1">
        <v>45090</v>
      </c>
      <c r="I771" s="1">
        <v>45095</v>
      </c>
      <c r="J771">
        <f t="shared" ref="J771:J834" si="13">I771-H771</f>
        <v>5</v>
      </c>
    </row>
    <row r="772" spans="1:10" x14ac:dyDescent="0.3">
      <c r="A772">
        <v>4912</v>
      </c>
      <c r="B772">
        <v>11.99</v>
      </c>
      <c r="G772" t="s">
        <v>23</v>
      </c>
      <c r="H772" s="1">
        <v>45808</v>
      </c>
      <c r="I772" s="1">
        <v>45810</v>
      </c>
      <c r="J772">
        <f t="shared" si="13"/>
        <v>2</v>
      </c>
    </row>
    <row r="773" spans="1:10" x14ac:dyDescent="0.3">
      <c r="A773">
        <v>268.54050000000001</v>
      </c>
      <c r="B773">
        <v>43.2</v>
      </c>
      <c r="G773" t="s">
        <v>19</v>
      </c>
      <c r="H773" s="1">
        <v>45210</v>
      </c>
      <c r="I773" s="1">
        <v>45213</v>
      </c>
      <c r="J773">
        <f t="shared" si="13"/>
        <v>3</v>
      </c>
    </row>
    <row r="774" spans="1:10" x14ac:dyDescent="0.3">
      <c r="A774">
        <v>2984.85</v>
      </c>
      <c r="B774">
        <v>14.43</v>
      </c>
      <c r="G774" t="s">
        <v>23</v>
      </c>
      <c r="H774" s="1">
        <v>45145</v>
      </c>
      <c r="I774" s="1">
        <v>45152</v>
      </c>
      <c r="J774">
        <f t="shared" si="13"/>
        <v>7</v>
      </c>
    </row>
    <row r="775" spans="1:10" x14ac:dyDescent="0.3">
      <c r="A775">
        <v>6088.2269999999999</v>
      </c>
      <c r="B775">
        <v>38.479999999999997</v>
      </c>
      <c r="G775" t="s">
        <v>21</v>
      </c>
      <c r="H775" s="1">
        <v>45263</v>
      </c>
      <c r="I775" s="1">
        <v>45265</v>
      </c>
      <c r="J775">
        <f t="shared" si="13"/>
        <v>2</v>
      </c>
    </row>
    <row r="776" spans="1:10" x14ac:dyDescent="0.3">
      <c r="A776">
        <v>1126.6559999999999</v>
      </c>
      <c r="B776">
        <v>49.93</v>
      </c>
      <c r="G776" t="s">
        <v>22</v>
      </c>
      <c r="H776" s="1">
        <v>45505</v>
      </c>
      <c r="I776" s="1">
        <v>45508</v>
      </c>
      <c r="J776">
        <f t="shared" si="13"/>
        <v>3</v>
      </c>
    </row>
    <row r="777" spans="1:10" x14ac:dyDescent="0.3">
      <c r="A777">
        <v>2154.7399999999998</v>
      </c>
      <c r="B777">
        <v>14</v>
      </c>
      <c r="G777" t="s">
        <v>19</v>
      </c>
      <c r="H777" s="1">
        <v>45005</v>
      </c>
      <c r="I777" s="1">
        <v>45012</v>
      </c>
      <c r="J777">
        <f t="shared" si="13"/>
        <v>7</v>
      </c>
    </row>
    <row r="778" spans="1:10" x14ac:dyDescent="0.3">
      <c r="A778">
        <v>4723.6279999999997</v>
      </c>
      <c r="B778">
        <v>7.59</v>
      </c>
      <c r="G778" t="s">
        <v>22</v>
      </c>
      <c r="H778" s="1">
        <v>45838</v>
      </c>
      <c r="I778" s="1">
        <v>45842</v>
      </c>
      <c r="J778">
        <f t="shared" si="13"/>
        <v>4</v>
      </c>
    </row>
    <row r="779" spans="1:10" x14ac:dyDescent="0.3">
      <c r="A779">
        <v>1692.27</v>
      </c>
      <c r="B779">
        <v>11.44</v>
      </c>
      <c r="G779" t="s">
        <v>20</v>
      </c>
      <c r="H779" s="1">
        <v>45693</v>
      </c>
      <c r="I779" s="1">
        <v>45695</v>
      </c>
      <c r="J779">
        <f t="shared" si="13"/>
        <v>2</v>
      </c>
    </row>
    <row r="780" spans="1:10" x14ac:dyDescent="0.3">
      <c r="A780">
        <v>3441.5565000000001</v>
      </c>
      <c r="B780">
        <v>21.64</v>
      </c>
      <c r="G780" t="s">
        <v>19</v>
      </c>
      <c r="H780" s="1">
        <v>45431</v>
      </c>
      <c r="I780" s="1">
        <v>45441</v>
      </c>
      <c r="J780">
        <f t="shared" si="13"/>
        <v>10</v>
      </c>
    </row>
    <row r="781" spans="1:10" x14ac:dyDescent="0.3">
      <c r="A781">
        <v>4056.389999999999</v>
      </c>
      <c r="B781">
        <v>21.31</v>
      </c>
      <c r="G781" t="s">
        <v>21</v>
      </c>
      <c r="H781" s="1">
        <v>44989</v>
      </c>
      <c r="I781" s="1">
        <v>44997</v>
      </c>
      <c r="J781">
        <f t="shared" si="13"/>
        <v>8</v>
      </c>
    </row>
    <row r="782" spans="1:10" x14ac:dyDescent="0.3">
      <c r="A782">
        <v>744.048</v>
      </c>
      <c r="B782">
        <v>41.69</v>
      </c>
      <c r="G782" t="s">
        <v>22</v>
      </c>
      <c r="H782" s="1">
        <v>44948</v>
      </c>
      <c r="I782" s="1">
        <v>44950</v>
      </c>
      <c r="J782">
        <f t="shared" si="13"/>
        <v>2</v>
      </c>
    </row>
    <row r="783" spans="1:10" x14ac:dyDescent="0.3">
      <c r="A783">
        <v>9124.07</v>
      </c>
      <c r="B783">
        <v>41.42</v>
      </c>
      <c r="G783" t="s">
        <v>20</v>
      </c>
      <c r="H783" s="1">
        <v>45005</v>
      </c>
      <c r="I783" s="1">
        <v>45010</v>
      </c>
      <c r="J783">
        <f t="shared" si="13"/>
        <v>5</v>
      </c>
    </row>
    <row r="784" spans="1:10" x14ac:dyDescent="0.3">
      <c r="A784">
        <v>980.49499999999989</v>
      </c>
      <c r="B784">
        <v>35.51</v>
      </c>
      <c r="G784" t="s">
        <v>23</v>
      </c>
      <c r="H784" s="1">
        <v>45448</v>
      </c>
      <c r="I784" s="1">
        <v>45456</v>
      </c>
      <c r="J784">
        <f t="shared" si="13"/>
        <v>8</v>
      </c>
    </row>
    <row r="785" spans="1:10" x14ac:dyDescent="0.3">
      <c r="A785">
        <v>873.22199999999987</v>
      </c>
      <c r="B785">
        <v>44.72</v>
      </c>
      <c r="G785" t="s">
        <v>19</v>
      </c>
      <c r="H785" s="1">
        <v>45482</v>
      </c>
      <c r="I785" s="1">
        <v>45490</v>
      </c>
      <c r="J785">
        <f t="shared" si="13"/>
        <v>8</v>
      </c>
    </row>
    <row r="786" spans="1:10" x14ac:dyDescent="0.3">
      <c r="A786">
        <v>247.04</v>
      </c>
      <c r="B786">
        <v>26.86</v>
      </c>
      <c r="G786" t="s">
        <v>20</v>
      </c>
      <c r="H786" s="1">
        <v>45724</v>
      </c>
      <c r="I786" s="1">
        <v>45729</v>
      </c>
      <c r="J786">
        <f t="shared" si="13"/>
        <v>5</v>
      </c>
    </row>
    <row r="787" spans="1:10" x14ac:dyDescent="0.3">
      <c r="A787">
        <v>1487.6189999999999</v>
      </c>
      <c r="B787">
        <v>30.12</v>
      </c>
      <c r="G787" t="s">
        <v>20</v>
      </c>
      <c r="H787" s="1">
        <v>45829</v>
      </c>
      <c r="I787" s="1">
        <v>45838</v>
      </c>
      <c r="J787">
        <f t="shared" si="13"/>
        <v>9</v>
      </c>
    </row>
    <row r="788" spans="1:10" x14ac:dyDescent="0.3">
      <c r="A788">
        <v>3772.2489999999989</v>
      </c>
      <c r="B788">
        <v>18.2</v>
      </c>
      <c r="G788" t="s">
        <v>21</v>
      </c>
      <c r="H788" s="1">
        <v>45836</v>
      </c>
      <c r="I788" s="1">
        <v>45839</v>
      </c>
      <c r="J788">
        <f t="shared" si="13"/>
        <v>3</v>
      </c>
    </row>
    <row r="789" spans="1:10" x14ac:dyDescent="0.3">
      <c r="A789">
        <v>4312.5344999999998</v>
      </c>
      <c r="B789">
        <v>35.82</v>
      </c>
      <c r="G789" t="s">
        <v>23</v>
      </c>
      <c r="H789" s="1">
        <v>45752</v>
      </c>
      <c r="I789" s="1">
        <v>45760</v>
      </c>
      <c r="J789">
        <f t="shared" si="13"/>
        <v>8</v>
      </c>
    </row>
    <row r="790" spans="1:10" x14ac:dyDescent="0.3">
      <c r="A790">
        <v>543.82999999999993</v>
      </c>
      <c r="B790">
        <v>41.89</v>
      </c>
      <c r="G790" t="s">
        <v>20</v>
      </c>
      <c r="H790" s="1">
        <v>45356</v>
      </c>
      <c r="I790" s="1">
        <v>45363</v>
      </c>
      <c r="J790">
        <f t="shared" si="13"/>
        <v>7</v>
      </c>
    </row>
    <row r="791" spans="1:10" x14ac:dyDescent="0.3">
      <c r="A791">
        <v>6248.6</v>
      </c>
      <c r="B791">
        <v>28.11</v>
      </c>
      <c r="G791" t="s">
        <v>19</v>
      </c>
      <c r="H791" s="1">
        <v>45360</v>
      </c>
      <c r="I791" s="1">
        <v>45362</v>
      </c>
      <c r="J791">
        <f t="shared" si="13"/>
        <v>2</v>
      </c>
    </row>
    <row r="792" spans="1:10" x14ac:dyDescent="0.3">
      <c r="A792">
        <v>254.505</v>
      </c>
      <c r="B792">
        <v>37.840000000000003</v>
      </c>
      <c r="G792" t="s">
        <v>22</v>
      </c>
      <c r="H792" s="1">
        <v>45713</v>
      </c>
      <c r="I792" s="1">
        <v>45716</v>
      </c>
      <c r="J792">
        <f t="shared" si="13"/>
        <v>3</v>
      </c>
    </row>
    <row r="793" spans="1:10" x14ac:dyDescent="0.3">
      <c r="A793">
        <v>4309.3044999999993</v>
      </c>
      <c r="B793">
        <v>32.520000000000003</v>
      </c>
      <c r="G793" t="s">
        <v>23</v>
      </c>
      <c r="H793" s="1">
        <v>45612</v>
      </c>
      <c r="I793" s="1">
        <v>45619</v>
      </c>
      <c r="J793">
        <f t="shared" si="13"/>
        <v>7</v>
      </c>
    </row>
    <row r="794" spans="1:10" x14ac:dyDescent="0.3">
      <c r="A794">
        <v>4714.09</v>
      </c>
      <c r="B794">
        <v>22.96</v>
      </c>
      <c r="G794" t="s">
        <v>20</v>
      </c>
      <c r="H794" s="1">
        <v>45505</v>
      </c>
      <c r="I794" s="1">
        <v>45510</v>
      </c>
      <c r="J794">
        <f t="shared" si="13"/>
        <v>5</v>
      </c>
    </row>
    <row r="795" spans="1:10" x14ac:dyDescent="0.3">
      <c r="A795">
        <v>1504.61</v>
      </c>
      <c r="B795">
        <v>12.7</v>
      </c>
      <c r="G795" t="s">
        <v>23</v>
      </c>
      <c r="H795" s="1">
        <v>45402</v>
      </c>
      <c r="I795" s="1">
        <v>45412</v>
      </c>
      <c r="J795">
        <f t="shared" si="13"/>
        <v>10</v>
      </c>
    </row>
    <row r="796" spans="1:10" x14ac:dyDescent="0.3">
      <c r="A796">
        <v>305.31599999999997</v>
      </c>
      <c r="B796">
        <v>45.41</v>
      </c>
      <c r="G796" t="s">
        <v>20</v>
      </c>
      <c r="H796" s="1">
        <v>45402</v>
      </c>
      <c r="I796" s="1">
        <v>45407</v>
      </c>
      <c r="J796">
        <f t="shared" si="13"/>
        <v>5</v>
      </c>
    </row>
    <row r="797" spans="1:10" x14ac:dyDescent="0.3">
      <c r="A797">
        <v>571.38700000000006</v>
      </c>
      <c r="B797">
        <v>7.06</v>
      </c>
      <c r="G797" t="s">
        <v>21</v>
      </c>
      <c r="H797" s="1">
        <v>45191</v>
      </c>
      <c r="I797" s="1">
        <v>45197</v>
      </c>
      <c r="J797">
        <f t="shared" si="13"/>
        <v>6</v>
      </c>
    </row>
    <row r="798" spans="1:10" x14ac:dyDescent="0.3">
      <c r="A798">
        <v>713.01600000000008</v>
      </c>
      <c r="B798">
        <v>25.39</v>
      </c>
      <c r="G798" t="s">
        <v>23</v>
      </c>
      <c r="H798" s="1">
        <v>45709</v>
      </c>
      <c r="I798" s="1">
        <v>45718</v>
      </c>
      <c r="J798">
        <f t="shared" si="13"/>
        <v>9</v>
      </c>
    </row>
    <row r="799" spans="1:10" x14ac:dyDescent="0.3">
      <c r="A799">
        <v>584.63</v>
      </c>
      <c r="B799">
        <v>6.45</v>
      </c>
      <c r="G799" t="s">
        <v>19</v>
      </c>
      <c r="H799" s="1">
        <v>45832</v>
      </c>
      <c r="I799" s="1">
        <v>45839</v>
      </c>
      <c r="J799">
        <f t="shared" si="13"/>
        <v>7</v>
      </c>
    </row>
    <row r="800" spans="1:10" x14ac:dyDescent="0.3">
      <c r="A800">
        <v>1073.924</v>
      </c>
      <c r="B800">
        <v>6.31</v>
      </c>
      <c r="G800" t="s">
        <v>22</v>
      </c>
      <c r="H800" s="1">
        <v>45258</v>
      </c>
      <c r="I800" s="1">
        <v>45265</v>
      </c>
      <c r="J800">
        <f t="shared" si="13"/>
        <v>7</v>
      </c>
    </row>
    <row r="801" spans="1:10" x14ac:dyDescent="0.3">
      <c r="A801">
        <v>723.10199999999998</v>
      </c>
      <c r="B801">
        <v>35.49</v>
      </c>
      <c r="G801" t="s">
        <v>21</v>
      </c>
      <c r="H801" s="1">
        <v>45390</v>
      </c>
      <c r="I801" s="1">
        <v>45399</v>
      </c>
      <c r="J801">
        <f t="shared" si="13"/>
        <v>9</v>
      </c>
    </row>
    <row r="802" spans="1:10" x14ac:dyDescent="0.3">
      <c r="A802">
        <v>3420.7125000000001</v>
      </c>
      <c r="B802">
        <v>14.31</v>
      </c>
      <c r="G802" t="s">
        <v>21</v>
      </c>
      <c r="H802" s="1">
        <v>45664</v>
      </c>
      <c r="I802" s="1">
        <v>45671</v>
      </c>
      <c r="J802">
        <f t="shared" si="13"/>
        <v>7</v>
      </c>
    </row>
    <row r="803" spans="1:10" x14ac:dyDescent="0.3">
      <c r="A803">
        <v>101.601</v>
      </c>
      <c r="B803">
        <v>43.7</v>
      </c>
      <c r="G803" t="s">
        <v>20</v>
      </c>
      <c r="H803" s="1">
        <v>44981</v>
      </c>
      <c r="I803" s="1">
        <v>44988</v>
      </c>
      <c r="J803">
        <f t="shared" si="13"/>
        <v>7</v>
      </c>
    </row>
    <row r="804" spans="1:10" x14ac:dyDescent="0.3">
      <c r="A804">
        <v>4599.2700000000004</v>
      </c>
      <c r="B804">
        <v>12.64</v>
      </c>
      <c r="G804" t="s">
        <v>19</v>
      </c>
      <c r="H804" s="1">
        <v>45218</v>
      </c>
      <c r="I804" s="1">
        <v>45225</v>
      </c>
      <c r="J804">
        <f t="shared" si="13"/>
        <v>7</v>
      </c>
    </row>
    <row r="805" spans="1:10" x14ac:dyDescent="0.3">
      <c r="A805">
        <v>712.81</v>
      </c>
      <c r="B805">
        <v>41.11</v>
      </c>
      <c r="G805" t="s">
        <v>21</v>
      </c>
      <c r="H805" s="1">
        <v>45460</v>
      </c>
      <c r="I805" s="1">
        <v>45464</v>
      </c>
      <c r="J805">
        <f t="shared" si="13"/>
        <v>4</v>
      </c>
    </row>
    <row r="806" spans="1:10" x14ac:dyDescent="0.3">
      <c r="A806">
        <v>1100.7</v>
      </c>
      <c r="B806">
        <v>18.47</v>
      </c>
      <c r="G806" t="s">
        <v>22</v>
      </c>
      <c r="H806" s="1">
        <v>45098</v>
      </c>
      <c r="I806" s="1">
        <v>45106</v>
      </c>
      <c r="J806">
        <f t="shared" si="13"/>
        <v>8</v>
      </c>
    </row>
    <row r="807" spans="1:10" x14ac:dyDescent="0.3">
      <c r="A807">
        <v>1473.798</v>
      </c>
      <c r="B807">
        <v>38.630000000000003</v>
      </c>
      <c r="G807" t="s">
        <v>19</v>
      </c>
      <c r="H807" s="1">
        <v>45534</v>
      </c>
      <c r="I807" s="1">
        <v>45537</v>
      </c>
      <c r="J807">
        <f t="shared" si="13"/>
        <v>3</v>
      </c>
    </row>
    <row r="808" spans="1:10" x14ac:dyDescent="0.3">
      <c r="A808">
        <v>4511.3999999999996</v>
      </c>
      <c r="B808">
        <v>29.96</v>
      </c>
      <c r="G808" t="s">
        <v>22</v>
      </c>
      <c r="H808" s="1">
        <v>45660</v>
      </c>
      <c r="I808" s="1">
        <v>45670</v>
      </c>
      <c r="J808">
        <f t="shared" si="13"/>
        <v>10</v>
      </c>
    </row>
    <row r="809" spans="1:10" x14ac:dyDescent="0.3">
      <c r="A809">
        <v>8145.28</v>
      </c>
      <c r="B809">
        <v>37.53</v>
      </c>
      <c r="G809" t="s">
        <v>23</v>
      </c>
      <c r="H809" s="1">
        <v>44980</v>
      </c>
      <c r="I809" s="1">
        <v>44987</v>
      </c>
      <c r="J809">
        <f t="shared" si="13"/>
        <v>7</v>
      </c>
    </row>
    <row r="810" spans="1:10" x14ac:dyDescent="0.3">
      <c r="A810">
        <v>2214.3739999999998</v>
      </c>
      <c r="B810">
        <v>44.26</v>
      </c>
      <c r="G810" t="s">
        <v>22</v>
      </c>
      <c r="H810" s="1">
        <v>45773</v>
      </c>
      <c r="I810" s="1">
        <v>45776</v>
      </c>
      <c r="J810">
        <f t="shared" si="13"/>
        <v>3</v>
      </c>
    </row>
    <row r="811" spans="1:10" x14ac:dyDescent="0.3">
      <c r="A811">
        <v>1037.1600000000001</v>
      </c>
      <c r="B811">
        <v>8.2799999999999994</v>
      </c>
      <c r="G811" t="s">
        <v>20</v>
      </c>
      <c r="H811" s="1">
        <v>45085</v>
      </c>
      <c r="I811" s="1">
        <v>45091</v>
      </c>
      <c r="J811">
        <f t="shared" si="13"/>
        <v>6</v>
      </c>
    </row>
    <row r="812" spans="1:10" x14ac:dyDescent="0.3">
      <c r="A812">
        <v>7124.670000000001</v>
      </c>
      <c r="B812">
        <v>24.4</v>
      </c>
      <c r="G812" t="s">
        <v>21</v>
      </c>
      <c r="H812" s="1">
        <v>45001</v>
      </c>
      <c r="I812" s="1">
        <v>45010</v>
      </c>
      <c r="J812">
        <f t="shared" si="13"/>
        <v>9</v>
      </c>
    </row>
    <row r="813" spans="1:10" x14ac:dyDescent="0.3">
      <c r="A813">
        <v>1336.94</v>
      </c>
      <c r="B813">
        <v>16.62</v>
      </c>
      <c r="G813" t="s">
        <v>21</v>
      </c>
      <c r="H813" s="1">
        <v>45588</v>
      </c>
      <c r="I813" s="1">
        <v>45593</v>
      </c>
      <c r="J813">
        <f t="shared" si="13"/>
        <v>5</v>
      </c>
    </row>
    <row r="814" spans="1:10" x14ac:dyDescent="0.3">
      <c r="A814">
        <v>1297.2149999999999</v>
      </c>
      <c r="B814">
        <v>29.64</v>
      </c>
      <c r="G814" t="s">
        <v>19</v>
      </c>
      <c r="H814" s="1">
        <v>45800</v>
      </c>
      <c r="I814" s="1">
        <v>45805</v>
      </c>
      <c r="J814">
        <f t="shared" si="13"/>
        <v>5</v>
      </c>
    </row>
    <row r="815" spans="1:10" x14ac:dyDescent="0.3">
      <c r="A815">
        <v>2336.2779999999998</v>
      </c>
      <c r="B815">
        <v>26.12</v>
      </c>
      <c r="G815" t="s">
        <v>19</v>
      </c>
      <c r="H815" s="1">
        <v>45052</v>
      </c>
      <c r="I815" s="1">
        <v>45060</v>
      </c>
      <c r="J815">
        <f t="shared" si="13"/>
        <v>8</v>
      </c>
    </row>
    <row r="816" spans="1:10" x14ac:dyDescent="0.3">
      <c r="A816">
        <v>1248.2145</v>
      </c>
      <c r="B816">
        <v>23.29</v>
      </c>
      <c r="G816" t="s">
        <v>20</v>
      </c>
      <c r="H816" s="1">
        <v>45519</v>
      </c>
      <c r="I816" s="1">
        <v>45526</v>
      </c>
      <c r="J816">
        <f t="shared" si="13"/>
        <v>7</v>
      </c>
    </row>
    <row r="817" spans="1:10" x14ac:dyDescent="0.3">
      <c r="A817">
        <v>4198.2179999999998</v>
      </c>
      <c r="B817">
        <v>19.170000000000002</v>
      </c>
      <c r="G817" t="s">
        <v>20</v>
      </c>
      <c r="H817" s="1">
        <v>45161</v>
      </c>
      <c r="I817" s="1">
        <v>45169</v>
      </c>
      <c r="J817">
        <f t="shared" si="13"/>
        <v>8</v>
      </c>
    </row>
    <row r="818" spans="1:10" x14ac:dyDescent="0.3">
      <c r="A818">
        <v>163.29</v>
      </c>
      <c r="B818">
        <v>21.15</v>
      </c>
      <c r="G818" t="s">
        <v>20</v>
      </c>
      <c r="H818" s="1">
        <v>45760</v>
      </c>
      <c r="I818" s="1">
        <v>45769</v>
      </c>
      <c r="J818">
        <f t="shared" si="13"/>
        <v>9</v>
      </c>
    </row>
    <row r="819" spans="1:10" x14ac:dyDescent="0.3">
      <c r="A819">
        <v>2557.9699999999998</v>
      </c>
      <c r="B819">
        <v>45.81</v>
      </c>
      <c r="G819" t="s">
        <v>22</v>
      </c>
      <c r="H819" s="1">
        <v>45454</v>
      </c>
      <c r="I819" s="1">
        <v>45460</v>
      </c>
      <c r="J819">
        <f t="shared" si="13"/>
        <v>6</v>
      </c>
    </row>
    <row r="820" spans="1:10" x14ac:dyDescent="0.3">
      <c r="A820">
        <v>2533.9050000000002</v>
      </c>
      <c r="B820">
        <v>21.99</v>
      </c>
      <c r="G820" t="s">
        <v>20</v>
      </c>
      <c r="H820" s="1">
        <v>45411</v>
      </c>
      <c r="I820" s="1">
        <v>45416</v>
      </c>
      <c r="J820">
        <f t="shared" si="13"/>
        <v>5</v>
      </c>
    </row>
    <row r="821" spans="1:10" x14ac:dyDescent="0.3">
      <c r="A821">
        <v>1828.386</v>
      </c>
      <c r="B821">
        <v>33.15</v>
      </c>
      <c r="G821" t="s">
        <v>20</v>
      </c>
      <c r="H821" s="1">
        <v>45012</v>
      </c>
      <c r="I821" s="1">
        <v>45020</v>
      </c>
      <c r="J821">
        <f t="shared" si="13"/>
        <v>8</v>
      </c>
    </row>
    <row r="822" spans="1:10" x14ac:dyDescent="0.3">
      <c r="A822">
        <v>3581.1</v>
      </c>
      <c r="B822">
        <v>5.16</v>
      </c>
      <c r="G822" t="s">
        <v>21</v>
      </c>
      <c r="H822" s="1">
        <v>45588</v>
      </c>
      <c r="I822" s="1">
        <v>45590</v>
      </c>
      <c r="J822">
        <f t="shared" si="13"/>
        <v>2</v>
      </c>
    </row>
    <row r="823" spans="1:10" x14ac:dyDescent="0.3">
      <c r="A823">
        <v>5395.8850000000002</v>
      </c>
      <c r="B823">
        <v>13.16</v>
      </c>
      <c r="G823" t="s">
        <v>21</v>
      </c>
      <c r="H823" s="1">
        <v>45098</v>
      </c>
      <c r="I823" s="1">
        <v>45105</v>
      </c>
      <c r="J823">
        <f t="shared" si="13"/>
        <v>7</v>
      </c>
    </row>
    <row r="824" spans="1:10" x14ac:dyDescent="0.3">
      <c r="A824">
        <v>450.9</v>
      </c>
      <c r="B824">
        <v>23.43</v>
      </c>
      <c r="G824" t="s">
        <v>22</v>
      </c>
      <c r="H824" s="1">
        <v>45058</v>
      </c>
      <c r="I824" s="1">
        <v>45065</v>
      </c>
      <c r="J824">
        <f t="shared" si="13"/>
        <v>7</v>
      </c>
    </row>
    <row r="825" spans="1:10" x14ac:dyDescent="0.3">
      <c r="A825">
        <v>8955.1749999999993</v>
      </c>
      <c r="B825">
        <v>47.16</v>
      </c>
      <c r="G825" t="s">
        <v>22</v>
      </c>
      <c r="H825" s="1">
        <v>45585</v>
      </c>
      <c r="I825" s="1">
        <v>45589</v>
      </c>
      <c r="J825">
        <f t="shared" si="13"/>
        <v>4</v>
      </c>
    </row>
    <row r="826" spans="1:10" x14ac:dyDescent="0.3">
      <c r="A826">
        <v>1642.34</v>
      </c>
      <c r="B826">
        <v>41.24</v>
      </c>
      <c r="G826" t="s">
        <v>21</v>
      </c>
      <c r="H826" s="1">
        <v>45386</v>
      </c>
      <c r="I826" s="1">
        <v>45389</v>
      </c>
      <c r="J826">
        <f t="shared" si="13"/>
        <v>3</v>
      </c>
    </row>
    <row r="827" spans="1:10" x14ac:dyDescent="0.3">
      <c r="A827">
        <v>581.93999999999994</v>
      </c>
      <c r="B827">
        <v>27.53</v>
      </c>
      <c r="G827" t="s">
        <v>22</v>
      </c>
      <c r="H827" s="1">
        <v>45669</v>
      </c>
      <c r="I827" s="1">
        <v>45673</v>
      </c>
      <c r="J827">
        <f t="shared" si="13"/>
        <v>4</v>
      </c>
    </row>
    <row r="828" spans="1:10" x14ac:dyDescent="0.3">
      <c r="A828">
        <v>7350.34</v>
      </c>
      <c r="B828">
        <v>41.56</v>
      </c>
      <c r="G828" t="s">
        <v>20</v>
      </c>
      <c r="H828" s="1">
        <v>45131</v>
      </c>
      <c r="I828" s="1">
        <v>45136</v>
      </c>
      <c r="J828">
        <f t="shared" si="13"/>
        <v>5</v>
      </c>
    </row>
    <row r="829" spans="1:10" x14ac:dyDescent="0.3">
      <c r="A829">
        <v>975.96</v>
      </c>
      <c r="B829">
        <v>30.73</v>
      </c>
      <c r="G829" t="s">
        <v>21</v>
      </c>
      <c r="H829" s="1">
        <v>45178</v>
      </c>
      <c r="I829" s="1">
        <v>45182</v>
      </c>
      <c r="J829">
        <f t="shared" si="13"/>
        <v>4</v>
      </c>
    </row>
    <row r="830" spans="1:10" x14ac:dyDescent="0.3">
      <c r="A830">
        <v>2340.2624999999998</v>
      </c>
      <c r="B830">
        <v>16.82</v>
      </c>
      <c r="G830" t="s">
        <v>19</v>
      </c>
      <c r="H830" s="1">
        <v>45402</v>
      </c>
      <c r="I830" s="1">
        <v>45409</v>
      </c>
      <c r="J830">
        <f t="shared" si="13"/>
        <v>7</v>
      </c>
    </row>
    <row r="831" spans="1:10" x14ac:dyDescent="0.3">
      <c r="A831">
        <v>1800.8579999999999</v>
      </c>
      <c r="B831">
        <v>29.22</v>
      </c>
      <c r="G831" t="s">
        <v>23</v>
      </c>
      <c r="H831" s="1">
        <v>45694</v>
      </c>
      <c r="I831" s="1">
        <v>45702</v>
      </c>
      <c r="J831">
        <f t="shared" si="13"/>
        <v>8</v>
      </c>
    </row>
    <row r="832" spans="1:10" x14ac:dyDescent="0.3">
      <c r="A832">
        <v>479.17999999999989</v>
      </c>
      <c r="B832">
        <v>31.31</v>
      </c>
      <c r="G832" t="s">
        <v>23</v>
      </c>
      <c r="H832" s="1">
        <v>45095</v>
      </c>
      <c r="I832" s="1">
        <v>45099</v>
      </c>
      <c r="J832">
        <f t="shared" si="13"/>
        <v>4</v>
      </c>
    </row>
    <row r="833" spans="1:10" x14ac:dyDescent="0.3">
      <c r="A833">
        <v>874.08</v>
      </c>
      <c r="B833">
        <v>37.369999999999997</v>
      </c>
      <c r="G833" t="s">
        <v>21</v>
      </c>
      <c r="H833" s="1">
        <v>45597</v>
      </c>
      <c r="I833" s="1">
        <v>45604</v>
      </c>
      <c r="J833">
        <f t="shared" si="13"/>
        <v>7</v>
      </c>
    </row>
    <row r="834" spans="1:10" x14ac:dyDescent="0.3">
      <c r="A834">
        <v>1907.655</v>
      </c>
      <c r="B834">
        <v>21.22</v>
      </c>
      <c r="G834" t="s">
        <v>23</v>
      </c>
      <c r="H834" s="1">
        <v>45516</v>
      </c>
      <c r="I834" s="1">
        <v>45525</v>
      </c>
      <c r="J834">
        <f t="shared" si="13"/>
        <v>9</v>
      </c>
    </row>
    <row r="835" spans="1:10" x14ac:dyDescent="0.3">
      <c r="A835">
        <v>4199.16</v>
      </c>
      <c r="B835">
        <v>21.04</v>
      </c>
      <c r="G835" t="s">
        <v>22</v>
      </c>
      <c r="H835" s="1">
        <v>45755</v>
      </c>
      <c r="I835" s="1">
        <v>45764</v>
      </c>
      <c r="J835">
        <f t="shared" ref="J835:J898" si="14">I835-H835</f>
        <v>9</v>
      </c>
    </row>
    <row r="836" spans="1:10" x14ac:dyDescent="0.3">
      <c r="A836">
        <v>1524.424</v>
      </c>
      <c r="B836">
        <v>36.9</v>
      </c>
      <c r="G836" t="s">
        <v>22</v>
      </c>
      <c r="H836" s="1">
        <v>45493</v>
      </c>
      <c r="I836" s="1">
        <v>45499</v>
      </c>
      <c r="J836">
        <f t="shared" si="14"/>
        <v>6</v>
      </c>
    </row>
    <row r="837" spans="1:10" x14ac:dyDescent="0.3">
      <c r="A837">
        <v>1867.8330000000001</v>
      </c>
      <c r="B837">
        <v>22.34</v>
      </c>
      <c r="G837" t="s">
        <v>23</v>
      </c>
      <c r="H837" s="1">
        <v>44974</v>
      </c>
      <c r="I837" s="1">
        <v>44978</v>
      </c>
      <c r="J837">
        <f t="shared" si="14"/>
        <v>4</v>
      </c>
    </row>
    <row r="838" spans="1:10" x14ac:dyDescent="0.3">
      <c r="A838">
        <v>3285.251999999999</v>
      </c>
      <c r="B838">
        <v>20.64</v>
      </c>
      <c r="G838" t="s">
        <v>19</v>
      </c>
      <c r="H838" s="1">
        <v>45475</v>
      </c>
      <c r="I838" s="1">
        <v>45477</v>
      </c>
      <c r="J838">
        <f t="shared" si="14"/>
        <v>2</v>
      </c>
    </row>
    <row r="839" spans="1:10" x14ac:dyDescent="0.3">
      <c r="A839">
        <v>849.9319999999999</v>
      </c>
      <c r="B839">
        <v>49.08</v>
      </c>
      <c r="G839" t="s">
        <v>21</v>
      </c>
      <c r="H839" s="1">
        <v>45748</v>
      </c>
      <c r="I839" s="1">
        <v>45751</v>
      </c>
      <c r="J839">
        <f t="shared" si="14"/>
        <v>3</v>
      </c>
    </row>
    <row r="840" spans="1:10" x14ac:dyDescent="0.3">
      <c r="A840">
        <v>2312.2890000000002</v>
      </c>
      <c r="B840">
        <v>15.3</v>
      </c>
      <c r="G840" t="s">
        <v>20</v>
      </c>
      <c r="H840" s="1">
        <v>45810</v>
      </c>
      <c r="I840" s="1">
        <v>45817</v>
      </c>
      <c r="J840">
        <f t="shared" si="14"/>
        <v>7</v>
      </c>
    </row>
    <row r="841" spans="1:10" x14ac:dyDescent="0.3">
      <c r="A841">
        <v>346.45</v>
      </c>
      <c r="B841">
        <v>20.83</v>
      </c>
      <c r="G841" t="s">
        <v>23</v>
      </c>
      <c r="H841" s="1">
        <v>45617</v>
      </c>
      <c r="I841" s="1">
        <v>45625</v>
      </c>
      <c r="J841">
        <f t="shared" si="14"/>
        <v>8</v>
      </c>
    </row>
    <row r="842" spans="1:10" x14ac:dyDescent="0.3">
      <c r="A842">
        <v>4603.6500000000005</v>
      </c>
      <c r="B842">
        <v>19.38</v>
      </c>
      <c r="G842" t="s">
        <v>20</v>
      </c>
      <c r="H842" s="1">
        <v>45301</v>
      </c>
      <c r="I842" s="1">
        <v>45305</v>
      </c>
      <c r="J842">
        <f t="shared" si="14"/>
        <v>4</v>
      </c>
    </row>
    <row r="843" spans="1:10" x14ac:dyDescent="0.3">
      <c r="A843">
        <v>1327.02</v>
      </c>
      <c r="B843">
        <v>43.56</v>
      </c>
      <c r="G843" t="s">
        <v>21</v>
      </c>
      <c r="H843" s="1">
        <v>45220</v>
      </c>
      <c r="I843" s="1">
        <v>45225</v>
      </c>
      <c r="J843">
        <f t="shared" si="14"/>
        <v>5</v>
      </c>
    </row>
    <row r="844" spans="1:10" x14ac:dyDescent="0.3">
      <c r="A844">
        <v>432.81</v>
      </c>
      <c r="B844">
        <v>25.49</v>
      </c>
      <c r="G844" t="s">
        <v>21</v>
      </c>
      <c r="H844" s="1">
        <v>45677</v>
      </c>
      <c r="I844" s="1">
        <v>45679</v>
      </c>
      <c r="J844">
        <f t="shared" si="14"/>
        <v>2</v>
      </c>
    </row>
    <row r="845" spans="1:10" x14ac:dyDescent="0.3">
      <c r="A845">
        <v>554.07799999999997</v>
      </c>
      <c r="B845">
        <v>23.4</v>
      </c>
      <c r="G845" t="s">
        <v>23</v>
      </c>
      <c r="H845" s="1">
        <v>45605</v>
      </c>
      <c r="I845" s="1">
        <v>45613</v>
      </c>
      <c r="J845">
        <f t="shared" si="14"/>
        <v>8</v>
      </c>
    </row>
    <row r="846" spans="1:10" x14ac:dyDescent="0.3">
      <c r="A846">
        <v>2139.6280000000002</v>
      </c>
      <c r="B846">
        <v>19.5</v>
      </c>
      <c r="G846" t="s">
        <v>23</v>
      </c>
      <c r="H846" s="1">
        <v>45385</v>
      </c>
      <c r="I846" s="1">
        <v>45389</v>
      </c>
      <c r="J846">
        <f t="shared" si="14"/>
        <v>4</v>
      </c>
    </row>
    <row r="847" spans="1:10" x14ac:dyDescent="0.3">
      <c r="A847">
        <v>2832.6675</v>
      </c>
      <c r="B847">
        <v>26.04</v>
      </c>
      <c r="G847" t="s">
        <v>21</v>
      </c>
      <c r="H847" s="1">
        <v>45297</v>
      </c>
      <c r="I847" s="1">
        <v>45299</v>
      </c>
      <c r="J847">
        <f t="shared" si="14"/>
        <v>2</v>
      </c>
    </row>
    <row r="848" spans="1:10" x14ac:dyDescent="0.3">
      <c r="A848">
        <v>2592.873</v>
      </c>
      <c r="B848">
        <v>17.010000000000002</v>
      </c>
      <c r="G848" t="s">
        <v>22</v>
      </c>
      <c r="H848" s="1">
        <v>45140</v>
      </c>
      <c r="I848" s="1">
        <v>45143</v>
      </c>
      <c r="J848">
        <f t="shared" si="14"/>
        <v>3</v>
      </c>
    </row>
    <row r="849" spans="1:10" x14ac:dyDescent="0.3">
      <c r="A849">
        <v>3369.672</v>
      </c>
      <c r="B849">
        <v>32.94</v>
      </c>
      <c r="G849" t="s">
        <v>21</v>
      </c>
      <c r="H849" s="1">
        <v>45256</v>
      </c>
      <c r="I849" s="1">
        <v>45261</v>
      </c>
      <c r="J849">
        <f t="shared" si="14"/>
        <v>5</v>
      </c>
    </row>
    <row r="850" spans="1:10" x14ac:dyDescent="0.3">
      <c r="A850">
        <v>7578.3874999999998</v>
      </c>
      <c r="B850">
        <v>45.76</v>
      </c>
      <c r="G850" t="s">
        <v>19</v>
      </c>
      <c r="H850" s="1">
        <v>45767</v>
      </c>
      <c r="I850" s="1">
        <v>45773</v>
      </c>
      <c r="J850">
        <f t="shared" si="14"/>
        <v>6</v>
      </c>
    </row>
    <row r="851" spans="1:10" x14ac:dyDescent="0.3">
      <c r="A851">
        <v>7523.9279999999999</v>
      </c>
      <c r="B851">
        <v>37.49</v>
      </c>
      <c r="G851" t="s">
        <v>20</v>
      </c>
      <c r="H851" s="1">
        <v>45289</v>
      </c>
      <c r="I851" s="1">
        <v>45296</v>
      </c>
      <c r="J851">
        <f t="shared" si="14"/>
        <v>7</v>
      </c>
    </row>
    <row r="852" spans="1:10" x14ac:dyDescent="0.3">
      <c r="A852">
        <v>8398.1234999999997</v>
      </c>
      <c r="B852">
        <v>44.95</v>
      </c>
      <c r="G852" t="s">
        <v>22</v>
      </c>
      <c r="H852" s="1">
        <v>45665</v>
      </c>
      <c r="I852" s="1">
        <v>45667</v>
      </c>
      <c r="J852">
        <f t="shared" si="14"/>
        <v>2</v>
      </c>
    </row>
    <row r="853" spans="1:10" x14ac:dyDescent="0.3">
      <c r="A853">
        <v>6186.24</v>
      </c>
      <c r="B853">
        <v>20.37</v>
      </c>
      <c r="G853" t="s">
        <v>19</v>
      </c>
      <c r="H853" s="1">
        <v>45418</v>
      </c>
      <c r="I853" s="1">
        <v>45426</v>
      </c>
      <c r="J853">
        <f t="shared" si="14"/>
        <v>8</v>
      </c>
    </row>
    <row r="854" spans="1:10" x14ac:dyDescent="0.3">
      <c r="A854">
        <v>6284.3829999999989</v>
      </c>
      <c r="B854">
        <v>13.54</v>
      </c>
      <c r="G854" t="s">
        <v>21</v>
      </c>
      <c r="H854" s="1">
        <v>45550</v>
      </c>
      <c r="I854" s="1">
        <v>45555</v>
      </c>
      <c r="J854">
        <f t="shared" si="14"/>
        <v>5</v>
      </c>
    </row>
    <row r="855" spans="1:10" x14ac:dyDescent="0.3">
      <c r="A855">
        <v>2565.36</v>
      </c>
      <c r="B855">
        <v>30.67</v>
      </c>
      <c r="G855" t="s">
        <v>23</v>
      </c>
      <c r="H855" s="1">
        <v>44964</v>
      </c>
      <c r="I855" s="1">
        <v>44969</v>
      </c>
      <c r="J855">
        <f t="shared" si="14"/>
        <v>5</v>
      </c>
    </row>
    <row r="856" spans="1:10" x14ac:dyDescent="0.3">
      <c r="A856">
        <v>29.849</v>
      </c>
      <c r="B856">
        <v>11.35</v>
      </c>
      <c r="G856" t="s">
        <v>19</v>
      </c>
      <c r="H856" s="1">
        <v>44986</v>
      </c>
      <c r="I856" s="1">
        <v>44994</v>
      </c>
      <c r="J856">
        <f t="shared" si="14"/>
        <v>8</v>
      </c>
    </row>
    <row r="857" spans="1:10" x14ac:dyDescent="0.3">
      <c r="A857">
        <v>8269.5905000000002</v>
      </c>
      <c r="B857">
        <v>44.99</v>
      </c>
      <c r="G857" t="s">
        <v>21</v>
      </c>
      <c r="H857" s="1">
        <v>45420</v>
      </c>
      <c r="I857" s="1">
        <v>45424</v>
      </c>
      <c r="J857">
        <f t="shared" si="14"/>
        <v>4</v>
      </c>
    </row>
    <row r="858" spans="1:10" x14ac:dyDescent="0.3">
      <c r="A858">
        <v>5404.3200000000006</v>
      </c>
      <c r="B858">
        <v>33.79</v>
      </c>
      <c r="G858" t="s">
        <v>19</v>
      </c>
      <c r="H858" s="1">
        <v>45449</v>
      </c>
      <c r="I858" s="1">
        <v>45451</v>
      </c>
      <c r="J858">
        <f t="shared" si="14"/>
        <v>2</v>
      </c>
    </row>
    <row r="859" spans="1:10" x14ac:dyDescent="0.3">
      <c r="A859">
        <v>695.15549999999996</v>
      </c>
      <c r="B859">
        <v>26.56</v>
      </c>
      <c r="G859" t="s">
        <v>21</v>
      </c>
      <c r="H859" s="1">
        <v>45045</v>
      </c>
      <c r="I859" s="1">
        <v>45054</v>
      </c>
      <c r="J859">
        <f t="shared" si="14"/>
        <v>9</v>
      </c>
    </row>
    <row r="860" spans="1:10" x14ac:dyDescent="0.3">
      <c r="A860">
        <v>5032.4445000000014</v>
      </c>
      <c r="B860">
        <v>42.3</v>
      </c>
      <c r="G860" t="s">
        <v>22</v>
      </c>
      <c r="H860" s="1">
        <v>45189</v>
      </c>
      <c r="I860" s="1">
        <v>45191</v>
      </c>
      <c r="J860">
        <f t="shared" si="14"/>
        <v>2</v>
      </c>
    </row>
    <row r="861" spans="1:10" x14ac:dyDescent="0.3">
      <c r="A861">
        <v>2621.0880000000002</v>
      </c>
      <c r="B861">
        <v>33.71</v>
      </c>
      <c r="G861" t="s">
        <v>20</v>
      </c>
      <c r="H861" s="1">
        <v>45604</v>
      </c>
      <c r="I861" s="1">
        <v>45609</v>
      </c>
      <c r="J861">
        <f t="shared" si="14"/>
        <v>5</v>
      </c>
    </row>
    <row r="862" spans="1:10" x14ac:dyDescent="0.3">
      <c r="A862">
        <v>2817.3164999999999</v>
      </c>
      <c r="B862">
        <v>5.59</v>
      </c>
      <c r="G862" t="s">
        <v>21</v>
      </c>
      <c r="H862" s="1">
        <v>45007</v>
      </c>
      <c r="I862" s="1">
        <v>45015</v>
      </c>
      <c r="J862">
        <f t="shared" si="14"/>
        <v>8</v>
      </c>
    </row>
    <row r="863" spans="1:10" x14ac:dyDescent="0.3">
      <c r="A863">
        <v>1838.05</v>
      </c>
      <c r="B863">
        <v>19.55</v>
      </c>
      <c r="G863" t="s">
        <v>19</v>
      </c>
      <c r="H863" s="1">
        <v>45174</v>
      </c>
      <c r="I863" s="1">
        <v>45182</v>
      </c>
      <c r="J863">
        <f t="shared" si="14"/>
        <v>8</v>
      </c>
    </row>
    <row r="864" spans="1:10" x14ac:dyDescent="0.3">
      <c r="A864">
        <v>9294.3249999999989</v>
      </c>
      <c r="B864">
        <v>13.42</v>
      </c>
      <c r="G864" t="s">
        <v>19</v>
      </c>
      <c r="H864" s="1">
        <v>44983</v>
      </c>
      <c r="I864" s="1">
        <v>44990</v>
      </c>
      <c r="J864">
        <f t="shared" si="14"/>
        <v>7</v>
      </c>
    </row>
    <row r="865" spans="1:10" x14ac:dyDescent="0.3">
      <c r="A865">
        <v>585.09749999999985</v>
      </c>
      <c r="B865">
        <v>19.809999999999999</v>
      </c>
      <c r="G865" t="s">
        <v>23</v>
      </c>
      <c r="H865" s="1">
        <v>45622</v>
      </c>
      <c r="I865" s="1">
        <v>45625</v>
      </c>
      <c r="J865">
        <f t="shared" si="14"/>
        <v>3</v>
      </c>
    </row>
    <row r="866" spans="1:10" x14ac:dyDescent="0.3">
      <c r="A866">
        <v>1174.8900000000001</v>
      </c>
      <c r="B866">
        <v>25.36</v>
      </c>
      <c r="G866" t="s">
        <v>22</v>
      </c>
      <c r="H866" s="1">
        <v>45579</v>
      </c>
      <c r="I866" s="1">
        <v>45582</v>
      </c>
      <c r="J866">
        <f t="shared" si="14"/>
        <v>3</v>
      </c>
    </row>
    <row r="867" spans="1:10" x14ac:dyDescent="0.3">
      <c r="A867">
        <v>909.22499999999991</v>
      </c>
      <c r="B867">
        <v>24.85</v>
      </c>
      <c r="G867" t="s">
        <v>22</v>
      </c>
      <c r="H867" s="1">
        <v>45075</v>
      </c>
      <c r="I867" s="1">
        <v>45080</v>
      </c>
      <c r="J867">
        <f t="shared" si="14"/>
        <v>5</v>
      </c>
    </row>
    <row r="868" spans="1:10" x14ac:dyDescent="0.3">
      <c r="A868">
        <v>2314.6860000000001</v>
      </c>
      <c r="B868">
        <v>45.32</v>
      </c>
      <c r="G868" t="s">
        <v>22</v>
      </c>
      <c r="H868" s="1">
        <v>45373</v>
      </c>
      <c r="I868" s="1">
        <v>45382</v>
      </c>
      <c r="J868">
        <f t="shared" si="14"/>
        <v>9</v>
      </c>
    </row>
    <row r="869" spans="1:10" x14ac:dyDescent="0.3">
      <c r="A869">
        <v>10216.299999999999</v>
      </c>
      <c r="B869">
        <v>45.83</v>
      </c>
      <c r="G869" t="s">
        <v>20</v>
      </c>
      <c r="H869" s="1">
        <v>45038</v>
      </c>
      <c r="I869" s="1">
        <v>45048</v>
      </c>
      <c r="J869">
        <f t="shared" si="14"/>
        <v>10</v>
      </c>
    </row>
    <row r="870" spans="1:10" x14ac:dyDescent="0.3">
      <c r="A870">
        <v>154.66</v>
      </c>
      <c r="B870">
        <v>46.73</v>
      </c>
      <c r="G870" t="s">
        <v>21</v>
      </c>
      <c r="H870" s="1">
        <v>45814</v>
      </c>
      <c r="I870" s="1">
        <v>45820</v>
      </c>
      <c r="J870">
        <f t="shared" si="14"/>
        <v>6</v>
      </c>
    </row>
    <row r="871" spans="1:10" x14ac:dyDescent="0.3">
      <c r="A871">
        <v>393.4</v>
      </c>
      <c r="B871">
        <v>35.840000000000003</v>
      </c>
      <c r="G871" t="s">
        <v>22</v>
      </c>
      <c r="H871" s="1">
        <v>44951</v>
      </c>
      <c r="I871" s="1">
        <v>44955</v>
      </c>
      <c r="J871">
        <f t="shared" si="14"/>
        <v>4</v>
      </c>
    </row>
    <row r="872" spans="1:10" x14ac:dyDescent="0.3">
      <c r="A872">
        <v>3990.06</v>
      </c>
      <c r="B872">
        <v>44.76</v>
      </c>
      <c r="G872" t="s">
        <v>20</v>
      </c>
      <c r="H872" s="1">
        <v>45177</v>
      </c>
      <c r="I872" s="1">
        <v>45179</v>
      </c>
      <c r="J872">
        <f t="shared" si="14"/>
        <v>2</v>
      </c>
    </row>
    <row r="873" spans="1:10" x14ac:dyDescent="0.3">
      <c r="A873">
        <v>1855.992</v>
      </c>
      <c r="B873">
        <v>25.06</v>
      </c>
      <c r="G873" t="s">
        <v>19</v>
      </c>
      <c r="H873" s="1">
        <v>45569</v>
      </c>
      <c r="I873" s="1">
        <v>45576</v>
      </c>
      <c r="J873">
        <f t="shared" si="14"/>
        <v>7</v>
      </c>
    </row>
    <row r="874" spans="1:10" x14ac:dyDescent="0.3">
      <c r="A874">
        <v>81.778500000000008</v>
      </c>
      <c r="B874">
        <v>43.18</v>
      </c>
      <c r="G874" t="s">
        <v>19</v>
      </c>
      <c r="H874" s="1">
        <v>45753</v>
      </c>
      <c r="I874" s="1">
        <v>45755</v>
      </c>
      <c r="J874">
        <f t="shared" si="14"/>
        <v>2</v>
      </c>
    </row>
    <row r="875" spans="1:10" x14ac:dyDescent="0.3">
      <c r="A875">
        <v>509.10750000000002</v>
      </c>
      <c r="B875">
        <v>33.44</v>
      </c>
      <c r="G875" t="s">
        <v>19</v>
      </c>
      <c r="H875" s="1">
        <v>45529</v>
      </c>
      <c r="I875" s="1">
        <v>45533</v>
      </c>
      <c r="J875">
        <f t="shared" si="14"/>
        <v>4</v>
      </c>
    </row>
    <row r="876" spans="1:10" x14ac:dyDescent="0.3">
      <c r="A876">
        <v>2227.8584999999998</v>
      </c>
      <c r="B876">
        <v>28.97</v>
      </c>
      <c r="G876" t="s">
        <v>21</v>
      </c>
      <c r="H876" s="1">
        <v>45357</v>
      </c>
      <c r="I876" s="1">
        <v>45363</v>
      </c>
      <c r="J876">
        <f t="shared" si="14"/>
        <v>6</v>
      </c>
    </row>
    <row r="877" spans="1:10" x14ac:dyDescent="0.3">
      <c r="A877">
        <v>203.74</v>
      </c>
      <c r="B877">
        <v>28.63</v>
      </c>
      <c r="G877" t="s">
        <v>19</v>
      </c>
      <c r="H877" s="1">
        <v>45008</v>
      </c>
      <c r="I877" s="1">
        <v>45011</v>
      </c>
      <c r="J877">
        <f t="shared" si="14"/>
        <v>3</v>
      </c>
    </row>
    <row r="878" spans="1:10" x14ac:dyDescent="0.3">
      <c r="A878">
        <v>4241.6074999999992</v>
      </c>
      <c r="B878">
        <v>27.26</v>
      </c>
      <c r="G878" t="s">
        <v>22</v>
      </c>
      <c r="H878" s="1">
        <v>45304</v>
      </c>
      <c r="I878" s="1">
        <v>45308</v>
      </c>
      <c r="J878">
        <f t="shared" si="14"/>
        <v>4</v>
      </c>
    </row>
    <row r="879" spans="1:10" x14ac:dyDescent="0.3">
      <c r="A879">
        <v>2161.65</v>
      </c>
      <c r="B879">
        <v>28.51</v>
      </c>
      <c r="G879" t="s">
        <v>22</v>
      </c>
      <c r="H879" s="1">
        <v>45125</v>
      </c>
      <c r="I879" s="1">
        <v>45131</v>
      </c>
      <c r="J879">
        <f t="shared" si="14"/>
        <v>6</v>
      </c>
    </row>
    <row r="880" spans="1:10" x14ac:dyDescent="0.3">
      <c r="A880">
        <v>6176.3040000000001</v>
      </c>
      <c r="B880">
        <v>13.09</v>
      </c>
      <c r="G880" t="s">
        <v>23</v>
      </c>
      <c r="H880" s="1">
        <v>45711</v>
      </c>
      <c r="I880" s="1">
        <v>45720</v>
      </c>
      <c r="J880">
        <f t="shared" si="14"/>
        <v>9</v>
      </c>
    </row>
    <row r="881" spans="1:10" x14ac:dyDescent="0.3">
      <c r="A881">
        <v>4366.7820000000002</v>
      </c>
      <c r="B881">
        <v>36.83</v>
      </c>
      <c r="G881" t="s">
        <v>19</v>
      </c>
      <c r="H881" s="1">
        <v>44979</v>
      </c>
      <c r="I881" s="1">
        <v>44987</v>
      </c>
      <c r="J881">
        <f t="shared" si="14"/>
        <v>8</v>
      </c>
    </row>
    <row r="882" spans="1:10" x14ac:dyDescent="0.3">
      <c r="A882">
        <v>2749.53</v>
      </c>
      <c r="B882">
        <v>45.85</v>
      </c>
      <c r="G882" t="s">
        <v>21</v>
      </c>
      <c r="H882" s="1">
        <v>45583</v>
      </c>
      <c r="I882" s="1">
        <v>45593</v>
      </c>
      <c r="J882">
        <f t="shared" si="14"/>
        <v>10</v>
      </c>
    </row>
    <row r="883" spans="1:10" x14ac:dyDescent="0.3">
      <c r="A883">
        <v>1076.616</v>
      </c>
      <c r="B883">
        <v>5.05</v>
      </c>
      <c r="G883" t="s">
        <v>23</v>
      </c>
      <c r="H883" s="1">
        <v>45225</v>
      </c>
      <c r="I883" s="1">
        <v>45230</v>
      </c>
      <c r="J883">
        <f t="shared" si="14"/>
        <v>5</v>
      </c>
    </row>
    <row r="884" spans="1:10" x14ac:dyDescent="0.3">
      <c r="A884">
        <v>4938.66</v>
      </c>
      <c r="B884">
        <v>12.28</v>
      </c>
      <c r="G884" t="s">
        <v>22</v>
      </c>
      <c r="H884" s="1">
        <v>44936</v>
      </c>
      <c r="I884" s="1">
        <v>44940</v>
      </c>
      <c r="J884">
        <f t="shared" si="14"/>
        <v>4</v>
      </c>
    </row>
    <row r="885" spans="1:10" x14ac:dyDescent="0.3">
      <c r="A885">
        <v>177.57</v>
      </c>
      <c r="B885">
        <v>16.059999999999999</v>
      </c>
      <c r="G885" t="s">
        <v>22</v>
      </c>
      <c r="H885" s="1">
        <v>45370</v>
      </c>
      <c r="I885" s="1">
        <v>45373</v>
      </c>
      <c r="J885">
        <f t="shared" si="14"/>
        <v>3</v>
      </c>
    </row>
    <row r="886" spans="1:10" x14ac:dyDescent="0.3">
      <c r="A886">
        <v>4424.34</v>
      </c>
      <c r="B886">
        <v>28.14</v>
      </c>
      <c r="G886" t="s">
        <v>22</v>
      </c>
      <c r="H886" s="1">
        <v>45280</v>
      </c>
      <c r="I886" s="1">
        <v>45286</v>
      </c>
      <c r="J886">
        <f t="shared" si="14"/>
        <v>6</v>
      </c>
    </row>
    <row r="887" spans="1:10" x14ac:dyDescent="0.3">
      <c r="A887">
        <v>1061.3969999999999</v>
      </c>
      <c r="B887">
        <v>14.85</v>
      </c>
      <c r="G887" t="s">
        <v>22</v>
      </c>
      <c r="H887" s="1">
        <v>45635</v>
      </c>
      <c r="I887" s="1">
        <v>45645</v>
      </c>
      <c r="J887">
        <f t="shared" si="14"/>
        <v>10</v>
      </c>
    </row>
    <row r="888" spans="1:10" x14ac:dyDescent="0.3">
      <c r="A888">
        <v>5530.14</v>
      </c>
      <c r="B888">
        <v>16.78</v>
      </c>
      <c r="G888" t="s">
        <v>22</v>
      </c>
      <c r="H888" s="1">
        <v>45056</v>
      </c>
      <c r="I888" s="1">
        <v>45066</v>
      </c>
      <c r="J888">
        <f t="shared" si="14"/>
        <v>10</v>
      </c>
    </row>
    <row r="889" spans="1:10" x14ac:dyDescent="0.3">
      <c r="A889">
        <v>2440.0529999999999</v>
      </c>
      <c r="B889">
        <v>14.76</v>
      </c>
      <c r="G889" t="s">
        <v>20</v>
      </c>
      <c r="H889" s="1">
        <v>45217</v>
      </c>
      <c r="I889" s="1">
        <v>45220</v>
      </c>
      <c r="J889">
        <f t="shared" si="14"/>
        <v>3</v>
      </c>
    </row>
    <row r="890" spans="1:10" x14ac:dyDescent="0.3">
      <c r="A890">
        <v>152.75</v>
      </c>
      <c r="B890">
        <v>9.61</v>
      </c>
      <c r="G890" t="s">
        <v>20</v>
      </c>
      <c r="H890" s="1">
        <v>45629</v>
      </c>
      <c r="I890" s="1">
        <v>45632</v>
      </c>
      <c r="J890">
        <f t="shared" si="14"/>
        <v>3</v>
      </c>
    </row>
    <row r="891" spans="1:10" x14ac:dyDescent="0.3">
      <c r="A891">
        <v>521.85599999999999</v>
      </c>
      <c r="B891">
        <v>26.92</v>
      </c>
      <c r="G891" t="s">
        <v>20</v>
      </c>
      <c r="H891" s="1">
        <v>45575</v>
      </c>
      <c r="I891" s="1">
        <v>45582</v>
      </c>
      <c r="J891">
        <f t="shared" si="14"/>
        <v>7</v>
      </c>
    </row>
    <row r="892" spans="1:10" x14ac:dyDescent="0.3">
      <c r="A892">
        <v>698.72400000000005</v>
      </c>
      <c r="B892">
        <v>26.35</v>
      </c>
      <c r="G892" t="s">
        <v>19</v>
      </c>
      <c r="H892" s="1">
        <v>45446</v>
      </c>
      <c r="I892" s="1">
        <v>45450</v>
      </c>
      <c r="J892">
        <f t="shared" si="14"/>
        <v>4</v>
      </c>
    </row>
    <row r="893" spans="1:10" x14ac:dyDescent="0.3">
      <c r="A893">
        <v>454.005</v>
      </c>
      <c r="B893">
        <v>45.34</v>
      </c>
      <c r="G893" t="s">
        <v>20</v>
      </c>
      <c r="H893" s="1">
        <v>45742</v>
      </c>
      <c r="I893" s="1">
        <v>45745</v>
      </c>
      <c r="J893">
        <f t="shared" si="14"/>
        <v>3</v>
      </c>
    </row>
    <row r="894" spans="1:10" x14ac:dyDescent="0.3">
      <c r="A894">
        <v>1092.1320000000001</v>
      </c>
      <c r="B894">
        <v>30.19</v>
      </c>
      <c r="G894" t="s">
        <v>21</v>
      </c>
      <c r="H894" s="1">
        <v>45408</v>
      </c>
      <c r="I894" s="1">
        <v>45413</v>
      </c>
      <c r="J894">
        <f t="shared" si="14"/>
        <v>5</v>
      </c>
    </row>
    <row r="895" spans="1:10" x14ac:dyDescent="0.3">
      <c r="A895">
        <v>7804.2240000000011</v>
      </c>
      <c r="B895">
        <v>9.93</v>
      </c>
      <c r="G895" t="s">
        <v>23</v>
      </c>
      <c r="H895" s="1">
        <v>45051</v>
      </c>
      <c r="I895" s="1">
        <v>45059</v>
      </c>
      <c r="J895">
        <f t="shared" si="14"/>
        <v>8</v>
      </c>
    </row>
    <row r="896" spans="1:10" x14ac:dyDescent="0.3">
      <c r="A896">
        <v>290.99</v>
      </c>
      <c r="B896">
        <v>16.59</v>
      </c>
      <c r="G896" t="s">
        <v>23</v>
      </c>
      <c r="H896" s="1">
        <v>45192</v>
      </c>
      <c r="I896" s="1">
        <v>45198</v>
      </c>
      <c r="J896">
        <f t="shared" si="14"/>
        <v>6</v>
      </c>
    </row>
    <row r="897" spans="1:10" x14ac:dyDescent="0.3">
      <c r="A897">
        <v>2961.2640000000001</v>
      </c>
      <c r="B897">
        <v>25.11</v>
      </c>
      <c r="G897" t="s">
        <v>20</v>
      </c>
      <c r="H897" s="1">
        <v>45724</v>
      </c>
      <c r="I897" s="1">
        <v>45731</v>
      </c>
      <c r="J897">
        <f t="shared" si="14"/>
        <v>7</v>
      </c>
    </row>
    <row r="898" spans="1:10" x14ac:dyDescent="0.3">
      <c r="A898">
        <v>287.55</v>
      </c>
      <c r="B898">
        <v>48.93</v>
      </c>
      <c r="G898" t="s">
        <v>21</v>
      </c>
      <c r="H898" s="1">
        <v>44943</v>
      </c>
      <c r="I898" s="1">
        <v>44953</v>
      </c>
      <c r="J898">
        <f t="shared" si="14"/>
        <v>10</v>
      </c>
    </row>
    <row r="899" spans="1:10" x14ac:dyDescent="0.3">
      <c r="A899">
        <v>3960.09</v>
      </c>
      <c r="B899">
        <v>21.03</v>
      </c>
      <c r="G899" t="s">
        <v>22</v>
      </c>
      <c r="H899" s="1">
        <v>45045</v>
      </c>
      <c r="I899" s="1">
        <v>45047</v>
      </c>
      <c r="J899">
        <f t="shared" ref="J899:J962" si="15">I899-H899</f>
        <v>2</v>
      </c>
    </row>
    <row r="900" spans="1:10" x14ac:dyDescent="0.3">
      <c r="A900">
        <v>3314.1959999999999</v>
      </c>
      <c r="B900">
        <v>16.04</v>
      </c>
      <c r="G900" t="s">
        <v>20</v>
      </c>
      <c r="H900" s="1">
        <v>45704</v>
      </c>
      <c r="I900" s="1">
        <v>45710</v>
      </c>
      <c r="J900">
        <f t="shared" si="15"/>
        <v>6</v>
      </c>
    </row>
    <row r="901" spans="1:10" x14ac:dyDescent="0.3">
      <c r="A901">
        <v>4138.3950000000004</v>
      </c>
      <c r="B901">
        <v>24.57</v>
      </c>
      <c r="G901" t="s">
        <v>19</v>
      </c>
      <c r="H901" s="1">
        <v>45082</v>
      </c>
      <c r="I901" s="1">
        <v>45086</v>
      </c>
      <c r="J901">
        <f t="shared" si="15"/>
        <v>4</v>
      </c>
    </row>
    <row r="902" spans="1:10" x14ac:dyDescent="0.3">
      <c r="A902">
        <v>4113.2245000000003</v>
      </c>
      <c r="B902">
        <v>32.57</v>
      </c>
      <c r="G902" t="s">
        <v>20</v>
      </c>
      <c r="H902" s="1">
        <v>45166</v>
      </c>
      <c r="I902" s="1">
        <v>45175</v>
      </c>
      <c r="J902">
        <f t="shared" si="15"/>
        <v>9</v>
      </c>
    </row>
    <row r="903" spans="1:10" x14ac:dyDescent="0.3">
      <c r="A903">
        <v>1073.7280000000001</v>
      </c>
      <c r="B903">
        <v>28.69</v>
      </c>
      <c r="G903" t="s">
        <v>21</v>
      </c>
      <c r="H903" s="1">
        <v>45139</v>
      </c>
      <c r="I903" s="1">
        <v>45148</v>
      </c>
      <c r="J903">
        <f t="shared" si="15"/>
        <v>9</v>
      </c>
    </row>
    <row r="904" spans="1:10" x14ac:dyDescent="0.3">
      <c r="A904">
        <v>2515.422</v>
      </c>
      <c r="B904">
        <v>46.67</v>
      </c>
      <c r="G904" t="s">
        <v>23</v>
      </c>
      <c r="H904" s="1">
        <v>45700</v>
      </c>
      <c r="I904" s="1">
        <v>45708</v>
      </c>
      <c r="J904">
        <f t="shared" si="15"/>
        <v>8</v>
      </c>
    </row>
    <row r="905" spans="1:10" x14ac:dyDescent="0.3">
      <c r="A905">
        <v>5832.2969999999996</v>
      </c>
      <c r="B905">
        <v>47.75</v>
      </c>
      <c r="G905" t="s">
        <v>22</v>
      </c>
      <c r="H905" s="1">
        <v>45110</v>
      </c>
      <c r="I905" s="1">
        <v>45113</v>
      </c>
      <c r="J905">
        <f t="shared" si="15"/>
        <v>3</v>
      </c>
    </row>
    <row r="906" spans="1:10" x14ac:dyDescent="0.3">
      <c r="A906">
        <v>6166.45</v>
      </c>
      <c r="B906">
        <v>21.21</v>
      </c>
      <c r="G906" t="s">
        <v>22</v>
      </c>
      <c r="H906" s="1">
        <v>45786</v>
      </c>
      <c r="I906" s="1">
        <v>45790</v>
      </c>
      <c r="J906">
        <f t="shared" si="15"/>
        <v>4</v>
      </c>
    </row>
    <row r="907" spans="1:10" x14ac:dyDescent="0.3">
      <c r="A907">
        <v>4335.4080000000004</v>
      </c>
      <c r="B907">
        <v>5.58</v>
      </c>
      <c r="G907" t="s">
        <v>23</v>
      </c>
      <c r="H907" s="1">
        <v>45417</v>
      </c>
      <c r="I907" s="1">
        <v>45426</v>
      </c>
      <c r="J907">
        <f t="shared" si="15"/>
        <v>9</v>
      </c>
    </row>
    <row r="908" spans="1:10" x14ac:dyDescent="0.3">
      <c r="A908">
        <v>3708.639999999999</v>
      </c>
      <c r="B908">
        <v>31.2</v>
      </c>
      <c r="G908" t="s">
        <v>20</v>
      </c>
      <c r="H908" s="1">
        <v>45299</v>
      </c>
      <c r="I908" s="1">
        <v>45306</v>
      </c>
      <c r="J908">
        <f t="shared" si="15"/>
        <v>7</v>
      </c>
    </row>
    <row r="909" spans="1:10" x14ac:dyDescent="0.3">
      <c r="A909">
        <v>270.60000000000002</v>
      </c>
      <c r="B909">
        <v>14.35</v>
      </c>
      <c r="G909" t="s">
        <v>20</v>
      </c>
      <c r="H909" s="1">
        <v>45670</v>
      </c>
      <c r="I909" s="1">
        <v>45674</v>
      </c>
      <c r="J909">
        <f t="shared" si="15"/>
        <v>4</v>
      </c>
    </row>
    <row r="910" spans="1:10" x14ac:dyDescent="0.3">
      <c r="A910">
        <v>5449.84</v>
      </c>
      <c r="B910">
        <v>44.77</v>
      </c>
      <c r="G910" t="s">
        <v>19</v>
      </c>
      <c r="H910" s="1">
        <v>45820</v>
      </c>
      <c r="I910" s="1">
        <v>45826</v>
      </c>
      <c r="J910">
        <f t="shared" si="15"/>
        <v>6</v>
      </c>
    </row>
    <row r="911" spans="1:10" x14ac:dyDescent="0.3">
      <c r="A911">
        <v>2819.4839999999999</v>
      </c>
      <c r="B911">
        <v>30.57</v>
      </c>
      <c r="G911" t="s">
        <v>21</v>
      </c>
      <c r="H911" s="1">
        <v>45750</v>
      </c>
      <c r="I911" s="1">
        <v>45759</v>
      </c>
      <c r="J911">
        <f t="shared" si="15"/>
        <v>9</v>
      </c>
    </row>
    <row r="912" spans="1:10" x14ac:dyDescent="0.3">
      <c r="A912">
        <v>1358.5039999999999</v>
      </c>
      <c r="B912">
        <v>22.16</v>
      </c>
      <c r="G912" t="s">
        <v>22</v>
      </c>
      <c r="H912" s="1">
        <v>44952</v>
      </c>
      <c r="I912" s="1">
        <v>44956</v>
      </c>
      <c r="J912">
        <f t="shared" si="15"/>
        <v>4</v>
      </c>
    </row>
    <row r="913" spans="1:10" x14ac:dyDescent="0.3">
      <c r="A913">
        <v>448.37099999999998</v>
      </c>
      <c r="B913">
        <v>25.55</v>
      </c>
      <c r="G913" t="s">
        <v>22</v>
      </c>
      <c r="H913" s="1">
        <v>44933</v>
      </c>
      <c r="I913" s="1">
        <v>44937</v>
      </c>
      <c r="J913">
        <f t="shared" si="15"/>
        <v>4</v>
      </c>
    </row>
    <row r="914" spans="1:10" x14ac:dyDescent="0.3">
      <c r="A914">
        <v>6088.4459999999999</v>
      </c>
      <c r="B914">
        <v>15.13</v>
      </c>
      <c r="G914" t="s">
        <v>21</v>
      </c>
      <c r="H914" s="1">
        <v>45672</v>
      </c>
      <c r="I914" s="1">
        <v>45680</v>
      </c>
      <c r="J914">
        <f t="shared" si="15"/>
        <v>8</v>
      </c>
    </row>
    <row r="915" spans="1:10" x14ac:dyDescent="0.3">
      <c r="A915">
        <v>2346.48</v>
      </c>
      <c r="B915">
        <v>34.6</v>
      </c>
      <c r="G915" t="s">
        <v>19</v>
      </c>
      <c r="H915" s="1">
        <v>45626</v>
      </c>
      <c r="I915" s="1">
        <v>45631</v>
      </c>
      <c r="J915">
        <f t="shared" si="15"/>
        <v>5</v>
      </c>
    </row>
    <row r="916" spans="1:10" x14ac:dyDescent="0.3">
      <c r="A916">
        <v>6473.9739999999993</v>
      </c>
      <c r="B916">
        <v>42.18</v>
      </c>
      <c r="G916" t="s">
        <v>19</v>
      </c>
      <c r="H916" s="1">
        <v>45348</v>
      </c>
      <c r="I916" s="1">
        <v>45358</v>
      </c>
      <c r="J916">
        <f t="shared" si="15"/>
        <v>10</v>
      </c>
    </row>
    <row r="917" spans="1:10" x14ac:dyDescent="0.3">
      <c r="A917">
        <v>5018.6220000000003</v>
      </c>
      <c r="B917">
        <v>16.399999999999999</v>
      </c>
      <c r="G917" t="s">
        <v>21</v>
      </c>
      <c r="H917" s="1">
        <v>45819</v>
      </c>
      <c r="I917" s="1">
        <v>45823</v>
      </c>
      <c r="J917">
        <f t="shared" si="15"/>
        <v>4</v>
      </c>
    </row>
    <row r="918" spans="1:10" x14ac:dyDescent="0.3">
      <c r="A918">
        <v>2947.01</v>
      </c>
      <c r="B918">
        <v>12.05</v>
      </c>
      <c r="G918" t="s">
        <v>22</v>
      </c>
      <c r="H918" s="1">
        <v>45259</v>
      </c>
      <c r="I918" s="1">
        <v>45264</v>
      </c>
      <c r="J918">
        <f t="shared" si="15"/>
        <v>5</v>
      </c>
    </row>
    <row r="919" spans="1:10" x14ac:dyDescent="0.3">
      <c r="A919">
        <v>4212.7560000000003</v>
      </c>
      <c r="B919">
        <v>39.159999999999997</v>
      </c>
      <c r="G919" t="s">
        <v>20</v>
      </c>
      <c r="H919" s="1">
        <v>45470</v>
      </c>
      <c r="I919" s="1">
        <v>45478</v>
      </c>
      <c r="J919">
        <f t="shared" si="15"/>
        <v>8</v>
      </c>
    </row>
    <row r="920" spans="1:10" x14ac:dyDescent="0.3">
      <c r="A920">
        <v>3511.105</v>
      </c>
      <c r="B920">
        <v>48.73</v>
      </c>
      <c r="G920" t="s">
        <v>20</v>
      </c>
      <c r="H920" s="1">
        <v>45432</v>
      </c>
      <c r="I920" s="1">
        <v>45439</v>
      </c>
      <c r="J920">
        <f t="shared" si="15"/>
        <v>7</v>
      </c>
    </row>
    <row r="921" spans="1:10" x14ac:dyDescent="0.3">
      <c r="A921">
        <v>5125.2000000000007</v>
      </c>
      <c r="B921">
        <v>8.11</v>
      </c>
      <c r="G921" t="s">
        <v>23</v>
      </c>
      <c r="H921" s="1">
        <v>45094</v>
      </c>
      <c r="I921" s="1">
        <v>45099</v>
      </c>
      <c r="J921">
        <f t="shared" si="15"/>
        <v>5</v>
      </c>
    </row>
    <row r="922" spans="1:10" x14ac:dyDescent="0.3">
      <c r="A922">
        <v>1982.97</v>
      </c>
      <c r="B922">
        <v>48.27</v>
      </c>
      <c r="G922" t="s">
        <v>19</v>
      </c>
      <c r="H922" s="1">
        <v>45602</v>
      </c>
      <c r="I922" s="1">
        <v>45609</v>
      </c>
      <c r="J922">
        <f t="shared" si="15"/>
        <v>7</v>
      </c>
    </row>
    <row r="923" spans="1:10" x14ac:dyDescent="0.3">
      <c r="A923">
        <v>257.72000000000003</v>
      </c>
      <c r="B923">
        <v>12.22</v>
      </c>
      <c r="G923" t="s">
        <v>21</v>
      </c>
      <c r="H923" s="1">
        <v>45700</v>
      </c>
      <c r="I923" s="1">
        <v>45708</v>
      </c>
      <c r="J923">
        <f t="shared" si="15"/>
        <v>8</v>
      </c>
    </row>
    <row r="924" spans="1:10" x14ac:dyDescent="0.3">
      <c r="A924">
        <v>2073.7199999999998</v>
      </c>
      <c r="B924">
        <v>30.86</v>
      </c>
      <c r="G924" t="s">
        <v>21</v>
      </c>
      <c r="H924" s="1">
        <v>45756</v>
      </c>
      <c r="I924" s="1">
        <v>45761</v>
      </c>
      <c r="J924">
        <f t="shared" si="15"/>
        <v>5</v>
      </c>
    </row>
    <row r="925" spans="1:10" x14ac:dyDescent="0.3">
      <c r="A925">
        <v>3270.299</v>
      </c>
      <c r="B925">
        <v>12.04</v>
      </c>
      <c r="G925" t="s">
        <v>21</v>
      </c>
      <c r="H925" s="1">
        <v>45522</v>
      </c>
      <c r="I925" s="1">
        <v>45530</v>
      </c>
      <c r="J925">
        <f t="shared" si="15"/>
        <v>8</v>
      </c>
    </row>
    <row r="926" spans="1:10" x14ac:dyDescent="0.3">
      <c r="A926">
        <v>561.93449999999996</v>
      </c>
      <c r="B926">
        <v>30.29</v>
      </c>
      <c r="G926" t="s">
        <v>22</v>
      </c>
      <c r="H926" s="1">
        <v>44977</v>
      </c>
      <c r="I926" s="1">
        <v>44980</v>
      </c>
      <c r="J926">
        <f t="shared" si="15"/>
        <v>3</v>
      </c>
    </row>
    <row r="927" spans="1:10" x14ac:dyDescent="0.3">
      <c r="A927">
        <v>467.17200000000003</v>
      </c>
      <c r="B927">
        <v>26.43</v>
      </c>
      <c r="G927" t="s">
        <v>21</v>
      </c>
      <c r="H927" s="1">
        <v>45775</v>
      </c>
      <c r="I927" s="1">
        <v>45785</v>
      </c>
      <c r="J927">
        <f t="shared" si="15"/>
        <v>10</v>
      </c>
    </row>
    <row r="928" spans="1:10" x14ac:dyDescent="0.3">
      <c r="A928">
        <v>179.34</v>
      </c>
      <c r="B928">
        <v>46.98</v>
      </c>
      <c r="G928" t="s">
        <v>22</v>
      </c>
      <c r="H928" s="1">
        <v>45148</v>
      </c>
      <c r="I928" s="1">
        <v>45151</v>
      </c>
      <c r="J928">
        <f t="shared" si="15"/>
        <v>3</v>
      </c>
    </row>
    <row r="929" spans="1:10" x14ac:dyDescent="0.3">
      <c r="A929">
        <v>2285.9279999999999</v>
      </c>
      <c r="B929">
        <v>10.36</v>
      </c>
      <c r="G929" t="s">
        <v>21</v>
      </c>
      <c r="H929" s="1">
        <v>45467</v>
      </c>
      <c r="I929" s="1">
        <v>45472</v>
      </c>
      <c r="J929">
        <f t="shared" si="15"/>
        <v>5</v>
      </c>
    </row>
    <row r="930" spans="1:10" x14ac:dyDescent="0.3">
      <c r="A930">
        <v>864.12950000000001</v>
      </c>
      <c r="B930">
        <v>27.66</v>
      </c>
      <c r="G930" t="s">
        <v>22</v>
      </c>
      <c r="H930" s="1">
        <v>45144</v>
      </c>
      <c r="I930" s="1">
        <v>45150</v>
      </c>
      <c r="J930">
        <f t="shared" si="15"/>
        <v>6</v>
      </c>
    </row>
    <row r="931" spans="1:10" x14ac:dyDescent="0.3">
      <c r="A931">
        <v>2761.4789999999998</v>
      </c>
      <c r="B931">
        <v>11.57</v>
      </c>
      <c r="G931" t="s">
        <v>19</v>
      </c>
      <c r="H931" s="1">
        <v>45622</v>
      </c>
      <c r="I931" s="1">
        <v>45626</v>
      </c>
      <c r="J931">
        <f t="shared" si="15"/>
        <v>4</v>
      </c>
    </row>
    <row r="932" spans="1:10" x14ac:dyDescent="0.3">
      <c r="A932">
        <v>1523.403</v>
      </c>
      <c r="B932">
        <v>32.94</v>
      </c>
      <c r="G932" t="s">
        <v>19</v>
      </c>
      <c r="H932" s="1">
        <v>45694</v>
      </c>
      <c r="I932" s="1">
        <v>45698</v>
      </c>
      <c r="J932">
        <f t="shared" si="15"/>
        <v>4</v>
      </c>
    </row>
    <row r="933" spans="1:10" x14ac:dyDescent="0.3">
      <c r="A933">
        <v>1189.932</v>
      </c>
      <c r="B933">
        <v>30.33</v>
      </c>
      <c r="G933" t="s">
        <v>19</v>
      </c>
      <c r="H933" s="1">
        <v>45736</v>
      </c>
      <c r="I933" s="1">
        <v>45742</v>
      </c>
      <c r="J933">
        <f t="shared" si="15"/>
        <v>6</v>
      </c>
    </row>
    <row r="934" spans="1:10" x14ac:dyDescent="0.3">
      <c r="A934">
        <v>4042.7819999999988</v>
      </c>
      <c r="B934">
        <v>48.13</v>
      </c>
      <c r="G934" t="s">
        <v>20</v>
      </c>
      <c r="H934" s="1">
        <v>45545</v>
      </c>
      <c r="I934" s="1">
        <v>45547</v>
      </c>
      <c r="J934">
        <f t="shared" si="15"/>
        <v>2</v>
      </c>
    </row>
    <row r="935" spans="1:10" x14ac:dyDescent="0.3">
      <c r="A935">
        <v>10028.978999999999</v>
      </c>
      <c r="B935">
        <v>19.850000000000001</v>
      </c>
      <c r="G935" t="s">
        <v>20</v>
      </c>
      <c r="H935" s="1">
        <v>45708</v>
      </c>
      <c r="I935" s="1">
        <v>45718</v>
      </c>
      <c r="J935">
        <f t="shared" si="15"/>
        <v>10</v>
      </c>
    </row>
    <row r="936" spans="1:10" x14ac:dyDescent="0.3">
      <c r="A936">
        <v>5901.3374999999996</v>
      </c>
      <c r="B936">
        <v>46.12</v>
      </c>
      <c r="G936" t="s">
        <v>19</v>
      </c>
      <c r="H936" s="1">
        <v>44946</v>
      </c>
      <c r="I936" s="1">
        <v>44952</v>
      </c>
      <c r="J936">
        <f t="shared" si="15"/>
        <v>6</v>
      </c>
    </row>
    <row r="937" spans="1:10" x14ac:dyDescent="0.3">
      <c r="A937">
        <v>167.36150000000001</v>
      </c>
      <c r="B937">
        <v>35.770000000000003</v>
      </c>
      <c r="G937" t="s">
        <v>19</v>
      </c>
      <c r="H937" s="1">
        <v>45354</v>
      </c>
      <c r="I937" s="1">
        <v>45357</v>
      </c>
      <c r="J937">
        <f t="shared" si="15"/>
        <v>3</v>
      </c>
    </row>
    <row r="938" spans="1:10" x14ac:dyDescent="0.3">
      <c r="A938">
        <v>64.116</v>
      </c>
      <c r="B938">
        <v>43.69</v>
      </c>
      <c r="G938" t="s">
        <v>23</v>
      </c>
      <c r="H938" s="1">
        <v>45257</v>
      </c>
      <c r="I938" s="1">
        <v>45263</v>
      </c>
      <c r="J938">
        <f t="shared" si="15"/>
        <v>6</v>
      </c>
    </row>
    <row r="939" spans="1:10" x14ac:dyDescent="0.3">
      <c r="A939">
        <v>374.58</v>
      </c>
      <c r="B939">
        <v>17.850000000000001</v>
      </c>
      <c r="G939" t="s">
        <v>19</v>
      </c>
      <c r="H939" s="1">
        <v>45606</v>
      </c>
      <c r="I939" s="1">
        <v>45614</v>
      </c>
      <c r="J939">
        <f t="shared" si="15"/>
        <v>8</v>
      </c>
    </row>
    <row r="940" spans="1:10" x14ac:dyDescent="0.3">
      <c r="A940">
        <v>3590.3069999999998</v>
      </c>
      <c r="B940">
        <v>26.81</v>
      </c>
      <c r="G940" t="s">
        <v>22</v>
      </c>
      <c r="H940" s="1">
        <v>45692</v>
      </c>
      <c r="I940" s="1">
        <v>45696</v>
      </c>
      <c r="J940">
        <f t="shared" si="15"/>
        <v>4</v>
      </c>
    </row>
    <row r="941" spans="1:10" x14ac:dyDescent="0.3">
      <c r="A941">
        <v>161.785</v>
      </c>
      <c r="B941">
        <v>19.72</v>
      </c>
      <c r="G941" t="s">
        <v>19</v>
      </c>
      <c r="H941" s="1">
        <v>45343</v>
      </c>
      <c r="I941" s="1">
        <v>45353</v>
      </c>
      <c r="J941">
        <f t="shared" si="15"/>
        <v>10</v>
      </c>
    </row>
    <row r="942" spans="1:10" x14ac:dyDescent="0.3">
      <c r="A942">
        <v>7689.7800000000007</v>
      </c>
      <c r="B942">
        <v>15.38</v>
      </c>
      <c r="G942" t="s">
        <v>19</v>
      </c>
      <c r="H942" s="1">
        <v>45009</v>
      </c>
      <c r="I942" s="1">
        <v>45014</v>
      </c>
      <c r="J942">
        <f t="shared" si="15"/>
        <v>5</v>
      </c>
    </row>
    <row r="943" spans="1:10" x14ac:dyDescent="0.3">
      <c r="A943">
        <v>242.244</v>
      </c>
      <c r="B943">
        <v>32.67</v>
      </c>
      <c r="G943" t="s">
        <v>20</v>
      </c>
      <c r="H943" s="1">
        <v>45417</v>
      </c>
      <c r="I943" s="1">
        <v>45425</v>
      </c>
      <c r="J943">
        <f t="shared" si="15"/>
        <v>8</v>
      </c>
    </row>
    <row r="944" spans="1:10" x14ac:dyDescent="0.3">
      <c r="A944">
        <v>6537.1859999999997</v>
      </c>
      <c r="B944">
        <v>35.729999999999997</v>
      </c>
      <c r="G944" t="s">
        <v>20</v>
      </c>
      <c r="H944" s="1">
        <v>45569</v>
      </c>
      <c r="I944" s="1">
        <v>45572</v>
      </c>
      <c r="J944">
        <f t="shared" si="15"/>
        <v>3</v>
      </c>
    </row>
    <row r="945" spans="1:10" x14ac:dyDescent="0.3">
      <c r="A945">
        <v>389.94</v>
      </c>
      <c r="B945">
        <v>9.89</v>
      </c>
      <c r="G945" t="s">
        <v>20</v>
      </c>
      <c r="H945" s="1">
        <v>45661</v>
      </c>
      <c r="I945" s="1">
        <v>45671</v>
      </c>
      <c r="J945">
        <f t="shared" si="15"/>
        <v>10</v>
      </c>
    </row>
    <row r="946" spans="1:10" x14ac:dyDescent="0.3">
      <c r="A946">
        <v>1959.7739999999999</v>
      </c>
      <c r="B946">
        <v>34.36</v>
      </c>
      <c r="G946" t="s">
        <v>22</v>
      </c>
      <c r="H946" s="1">
        <v>45649</v>
      </c>
      <c r="I946" s="1">
        <v>45659</v>
      </c>
      <c r="J946">
        <f t="shared" si="15"/>
        <v>10</v>
      </c>
    </row>
    <row r="947" spans="1:10" x14ac:dyDescent="0.3">
      <c r="A947">
        <v>8654.4619999999995</v>
      </c>
      <c r="B947">
        <v>26.12</v>
      </c>
      <c r="G947" t="s">
        <v>22</v>
      </c>
      <c r="H947" s="1">
        <v>44955</v>
      </c>
      <c r="I947" s="1">
        <v>44965</v>
      </c>
      <c r="J947">
        <f t="shared" si="15"/>
        <v>10</v>
      </c>
    </row>
    <row r="948" spans="1:10" x14ac:dyDescent="0.3">
      <c r="A948">
        <v>2828.6819999999998</v>
      </c>
      <c r="B948">
        <v>26.03</v>
      </c>
      <c r="G948" t="s">
        <v>23</v>
      </c>
      <c r="H948" s="1">
        <v>45515</v>
      </c>
      <c r="I948" s="1">
        <v>45521</v>
      </c>
      <c r="J948">
        <f t="shared" si="15"/>
        <v>6</v>
      </c>
    </row>
    <row r="949" spans="1:10" x14ac:dyDescent="0.3">
      <c r="A949">
        <v>964.2</v>
      </c>
      <c r="B949">
        <v>45.35</v>
      </c>
      <c r="G949" t="s">
        <v>21</v>
      </c>
      <c r="H949" s="1">
        <v>45255</v>
      </c>
      <c r="I949" s="1">
        <v>45260</v>
      </c>
      <c r="J949">
        <f t="shared" si="15"/>
        <v>5</v>
      </c>
    </row>
    <row r="950" spans="1:10" x14ac:dyDescent="0.3">
      <c r="A950">
        <v>6188.5620000000008</v>
      </c>
      <c r="B950">
        <v>36.549999999999997</v>
      </c>
      <c r="G950" t="s">
        <v>21</v>
      </c>
      <c r="H950" s="1">
        <v>45720</v>
      </c>
      <c r="I950" s="1">
        <v>45724</v>
      </c>
      <c r="J950">
        <f t="shared" si="15"/>
        <v>4</v>
      </c>
    </row>
    <row r="951" spans="1:10" x14ac:dyDescent="0.3">
      <c r="A951">
        <v>1767.74</v>
      </c>
      <c r="B951">
        <v>28.35</v>
      </c>
      <c r="G951" t="s">
        <v>21</v>
      </c>
      <c r="H951" s="1">
        <v>45709</v>
      </c>
      <c r="I951" s="1">
        <v>45717</v>
      </c>
      <c r="J951">
        <f t="shared" si="15"/>
        <v>8</v>
      </c>
    </row>
    <row r="952" spans="1:10" x14ac:dyDescent="0.3">
      <c r="A952">
        <v>5062.8599999999997</v>
      </c>
      <c r="B952">
        <v>30.27</v>
      </c>
      <c r="G952" t="s">
        <v>19</v>
      </c>
      <c r="H952" s="1">
        <v>45714</v>
      </c>
      <c r="I952" s="1">
        <v>45716</v>
      </c>
      <c r="J952">
        <f t="shared" si="15"/>
        <v>2</v>
      </c>
    </row>
    <row r="953" spans="1:10" x14ac:dyDescent="0.3">
      <c r="A953">
        <v>3056.88</v>
      </c>
      <c r="B953">
        <v>35.92</v>
      </c>
      <c r="G953" t="s">
        <v>19</v>
      </c>
      <c r="H953" s="1">
        <v>45380</v>
      </c>
      <c r="I953" s="1">
        <v>45388</v>
      </c>
      <c r="J953">
        <f t="shared" si="15"/>
        <v>8</v>
      </c>
    </row>
    <row r="954" spans="1:10" x14ac:dyDescent="0.3">
      <c r="A954">
        <v>1410.27</v>
      </c>
      <c r="B954">
        <v>38.29</v>
      </c>
      <c r="G954" t="s">
        <v>23</v>
      </c>
      <c r="H954" s="1">
        <v>45805</v>
      </c>
      <c r="I954" s="1">
        <v>45809</v>
      </c>
      <c r="J954">
        <f t="shared" si="15"/>
        <v>4</v>
      </c>
    </row>
    <row r="955" spans="1:10" x14ac:dyDescent="0.3">
      <c r="A955">
        <v>2808</v>
      </c>
      <c r="B955">
        <v>49.98</v>
      </c>
      <c r="G955" t="s">
        <v>23</v>
      </c>
      <c r="H955" s="1">
        <v>45436</v>
      </c>
      <c r="I955" s="1">
        <v>45442</v>
      </c>
      <c r="J955">
        <f t="shared" si="15"/>
        <v>6</v>
      </c>
    </row>
    <row r="956" spans="1:10" x14ac:dyDescent="0.3">
      <c r="A956">
        <v>2036.5830000000001</v>
      </c>
      <c r="B956">
        <v>22.57</v>
      </c>
      <c r="G956" t="s">
        <v>20</v>
      </c>
      <c r="H956" s="1">
        <v>45058</v>
      </c>
      <c r="I956" s="1">
        <v>45063</v>
      </c>
      <c r="J956">
        <f t="shared" si="15"/>
        <v>5</v>
      </c>
    </row>
    <row r="957" spans="1:10" x14ac:dyDescent="0.3">
      <c r="A957">
        <v>1388.152</v>
      </c>
      <c r="B957">
        <v>5.38</v>
      </c>
      <c r="G957" t="s">
        <v>20</v>
      </c>
      <c r="H957" s="1">
        <v>45210</v>
      </c>
      <c r="I957" s="1">
        <v>45214</v>
      </c>
      <c r="J957">
        <f t="shared" si="15"/>
        <v>4</v>
      </c>
    </row>
    <row r="958" spans="1:10" x14ac:dyDescent="0.3">
      <c r="A958">
        <v>46.631</v>
      </c>
      <c r="B958">
        <v>6.15</v>
      </c>
      <c r="G958" t="s">
        <v>21</v>
      </c>
      <c r="H958" s="1">
        <v>45316</v>
      </c>
      <c r="I958" s="1">
        <v>45323</v>
      </c>
      <c r="J958">
        <f t="shared" si="15"/>
        <v>7</v>
      </c>
    </row>
    <row r="959" spans="1:10" x14ac:dyDescent="0.3">
      <c r="A959">
        <v>3185.0279999999998</v>
      </c>
      <c r="B959">
        <v>17.940000000000001</v>
      </c>
      <c r="G959" t="s">
        <v>19</v>
      </c>
      <c r="H959" s="1">
        <v>44960</v>
      </c>
      <c r="I959" s="1">
        <v>44963</v>
      </c>
      <c r="J959">
        <f t="shared" si="15"/>
        <v>3</v>
      </c>
    </row>
    <row r="960" spans="1:10" x14ac:dyDescent="0.3">
      <c r="A960">
        <v>838.43999999999994</v>
      </c>
      <c r="B960">
        <v>17.09</v>
      </c>
      <c r="G960" t="s">
        <v>21</v>
      </c>
      <c r="H960" s="1">
        <v>45481</v>
      </c>
      <c r="I960" s="1">
        <v>45487</v>
      </c>
      <c r="J960">
        <f t="shared" si="15"/>
        <v>6</v>
      </c>
    </row>
    <row r="961" spans="1:10" x14ac:dyDescent="0.3">
      <c r="A961">
        <v>1170.8399999999999</v>
      </c>
      <c r="B961">
        <v>45.22</v>
      </c>
      <c r="G961" t="s">
        <v>20</v>
      </c>
      <c r="H961" s="1">
        <v>45808</v>
      </c>
      <c r="I961" s="1">
        <v>45818</v>
      </c>
      <c r="J961">
        <f t="shared" si="15"/>
        <v>10</v>
      </c>
    </row>
    <row r="962" spans="1:10" x14ac:dyDescent="0.3">
      <c r="A962">
        <v>1932.645</v>
      </c>
      <c r="B962">
        <v>31.26</v>
      </c>
      <c r="G962" t="s">
        <v>20</v>
      </c>
      <c r="H962" s="1">
        <v>45239</v>
      </c>
      <c r="I962" s="1">
        <v>45242</v>
      </c>
      <c r="J962">
        <f t="shared" si="15"/>
        <v>3</v>
      </c>
    </row>
    <row r="963" spans="1:10" x14ac:dyDescent="0.3">
      <c r="A963">
        <v>3017.7359999999999</v>
      </c>
      <c r="B963">
        <v>11.02</v>
      </c>
      <c r="G963" t="s">
        <v>21</v>
      </c>
      <c r="H963" s="1">
        <v>45113</v>
      </c>
      <c r="I963" s="1">
        <v>45117</v>
      </c>
      <c r="J963">
        <f t="shared" ref="J963:J1026" si="16">I963-H963</f>
        <v>4</v>
      </c>
    </row>
    <row r="964" spans="1:10" x14ac:dyDescent="0.3">
      <c r="A964">
        <v>1403.52</v>
      </c>
      <c r="B964">
        <v>22.04</v>
      </c>
      <c r="G964" t="s">
        <v>21</v>
      </c>
      <c r="H964" s="1">
        <v>45121</v>
      </c>
      <c r="I964" s="1">
        <v>45129</v>
      </c>
      <c r="J964">
        <f t="shared" si="16"/>
        <v>8</v>
      </c>
    </row>
    <row r="965" spans="1:10" x14ac:dyDescent="0.3">
      <c r="A965">
        <v>3204.828</v>
      </c>
      <c r="B965">
        <v>7.52</v>
      </c>
      <c r="G965" t="s">
        <v>23</v>
      </c>
      <c r="H965" s="1">
        <v>45243</v>
      </c>
      <c r="I965" s="1">
        <v>45245</v>
      </c>
      <c r="J965">
        <f t="shared" si="16"/>
        <v>2</v>
      </c>
    </row>
    <row r="966" spans="1:10" x14ac:dyDescent="0.3">
      <c r="A966">
        <v>1624.8705</v>
      </c>
      <c r="B966">
        <v>47.01</v>
      </c>
      <c r="G966" t="s">
        <v>23</v>
      </c>
      <c r="H966" s="1">
        <v>45690</v>
      </c>
      <c r="I966" s="1">
        <v>45700</v>
      </c>
      <c r="J966">
        <f t="shared" si="16"/>
        <v>10</v>
      </c>
    </row>
    <row r="967" spans="1:10" x14ac:dyDescent="0.3">
      <c r="A967">
        <v>5404</v>
      </c>
      <c r="B967">
        <v>6.8</v>
      </c>
      <c r="G967" t="s">
        <v>20</v>
      </c>
      <c r="H967" s="1">
        <v>45418</v>
      </c>
      <c r="I967" s="1">
        <v>45427</v>
      </c>
      <c r="J967">
        <f t="shared" si="16"/>
        <v>9</v>
      </c>
    </row>
    <row r="968" spans="1:10" x14ac:dyDescent="0.3">
      <c r="A968">
        <v>6508.08</v>
      </c>
      <c r="B968">
        <v>13.35</v>
      </c>
      <c r="G968" t="s">
        <v>20</v>
      </c>
      <c r="H968" s="1">
        <v>45582</v>
      </c>
      <c r="I968" s="1">
        <v>45584</v>
      </c>
      <c r="J968">
        <f t="shared" si="16"/>
        <v>2</v>
      </c>
    </row>
    <row r="969" spans="1:10" x14ac:dyDescent="0.3">
      <c r="A969">
        <v>4271.9489999999996</v>
      </c>
      <c r="B969">
        <v>22.83</v>
      </c>
      <c r="G969" t="s">
        <v>21</v>
      </c>
      <c r="H969" s="1">
        <v>45686</v>
      </c>
      <c r="I969" s="1">
        <v>45693</v>
      </c>
      <c r="J969">
        <f t="shared" si="16"/>
        <v>7</v>
      </c>
    </row>
    <row r="970" spans="1:10" x14ac:dyDescent="0.3">
      <c r="A970">
        <v>1513.8</v>
      </c>
      <c r="B970">
        <v>46.69</v>
      </c>
      <c r="G970" t="s">
        <v>22</v>
      </c>
      <c r="H970" s="1">
        <v>45739</v>
      </c>
      <c r="I970" s="1">
        <v>45745</v>
      </c>
      <c r="J970">
        <f t="shared" si="16"/>
        <v>6</v>
      </c>
    </row>
    <row r="971" spans="1:10" x14ac:dyDescent="0.3">
      <c r="A971">
        <v>6553.48</v>
      </c>
      <c r="B971">
        <v>6.91</v>
      </c>
      <c r="G971" t="s">
        <v>23</v>
      </c>
      <c r="H971" s="1">
        <v>45393</v>
      </c>
      <c r="I971" s="1">
        <v>45402</v>
      </c>
      <c r="J971">
        <f t="shared" si="16"/>
        <v>9</v>
      </c>
    </row>
    <row r="972" spans="1:10" x14ac:dyDescent="0.3">
      <c r="A972">
        <v>3222.1979999999999</v>
      </c>
      <c r="B972">
        <v>19.2</v>
      </c>
      <c r="G972" t="s">
        <v>22</v>
      </c>
      <c r="H972" s="1">
        <v>45415</v>
      </c>
      <c r="I972" s="1">
        <v>45424</v>
      </c>
      <c r="J972">
        <f t="shared" si="16"/>
        <v>9</v>
      </c>
    </row>
    <row r="973" spans="1:10" x14ac:dyDescent="0.3">
      <c r="A973">
        <v>896.07</v>
      </c>
      <c r="B973">
        <v>15.52</v>
      </c>
      <c r="G973" t="s">
        <v>19</v>
      </c>
      <c r="H973" s="1">
        <v>45579</v>
      </c>
      <c r="I973" s="1">
        <v>45586</v>
      </c>
      <c r="J973">
        <f t="shared" si="16"/>
        <v>7</v>
      </c>
    </row>
    <row r="974" spans="1:10" x14ac:dyDescent="0.3">
      <c r="A974">
        <v>1074.5360000000001</v>
      </c>
      <c r="B974">
        <v>47.43</v>
      </c>
      <c r="G974" t="s">
        <v>23</v>
      </c>
      <c r="H974" s="1">
        <v>45330</v>
      </c>
      <c r="I974" s="1">
        <v>45335</v>
      </c>
      <c r="J974">
        <f t="shared" si="16"/>
        <v>5</v>
      </c>
    </row>
    <row r="975" spans="1:10" x14ac:dyDescent="0.3">
      <c r="A975">
        <v>965.12399999999991</v>
      </c>
      <c r="B975">
        <v>34.75</v>
      </c>
      <c r="G975" t="s">
        <v>22</v>
      </c>
      <c r="H975" s="1">
        <v>45056</v>
      </c>
      <c r="I975" s="1">
        <v>45059</v>
      </c>
      <c r="J975">
        <f t="shared" si="16"/>
        <v>3</v>
      </c>
    </row>
    <row r="976" spans="1:10" x14ac:dyDescent="0.3">
      <c r="A976">
        <v>7769.1360000000004</v>
      </c>
      <c r="B976">
        <v>6.13</v>
      </c>
      <c r="G976" t="s">
        <v>21</v>
      </c>
      <c r="H976" s="1">
        <v>44988</v>
      </c>
      <c r="I976" s="1">
        <v>44997</v>
      </c>
      <c r="J976">
        <f t="shared" si="16"/>
        <v>9</v>
      </c>
    </row>
    <row r="977" spans="1:10" x14ac:dyDescent="0.3">
      <c r="A977">
        <v>1451.7360000000001</v>
      </c>
      <c r="B977">
        <v>33.979999999999997</v>
      </c>
      <c r="G977" t="s">
        <v>22</v>
      </c>
      <c r="H977" s="1">
        <v>45798</v>
      </c>
      <c r="I977" s="1">
        <v>45804</v>
      </c>
      <c r="J977">
        <f t="shared" si="16"/>
        <v>6</v>
      </c>
    </row>
    <row r="978" spans="1:10" x14ac:dyDescent="0.3">
      <c r="A978">
        <v>2818.5</v>
      </c>
      <c r="B978">
        <v>29.28</v>
      </c>
      <c r="G978" t="s">
        <v>22</v>
      </c>
      <c r="H978" s="1">
        <v>45777</v>
      </c>
      <c r="I978" s="1">
        <v>45784</v>
      </c>
      <c r="J978">
        <f t="shared" si="16"/>
        <v>7</v>
      </c>
    </row>
    <row r="979" spans="1:10" x14ac:dyDescent="0.3">
      <c r="A979">
        <v>5110.4295000000002</v>
      </c>
      <c r="B979">
        <v>24.77</v>
      </c>
      <c r="G979" t="s">
        <v>21</v>
      </c>
      <c r="H979" s="1">
        <v>45018</v>
      </c>
      <c r="I979" s="1">
        <v>45020</v>
      </c>
      <c r="J979">
        <f t="shared" si="16"/>
        <v>2</v>
      </c>
    </row>
    <row r="980" spans="1:10" x14ac:dyDescent="0.3">
      <c r="A980">
        <v>3119.7240000000002</v>
      </c>
      <c r="B980">
        <v>40.26</v>
      </c>
      <c r="G980" t="s">
        <v>21</v>
      </c>
      <c r="H980" s="1">
        <v>45530</v>
      </c>
      <c r="I980" s="1">
        <v>45540</v>
      </c>
      <c r="J980">
        <f t="shared" si="16"/>
        <v>10</v>
      </c>
    </row>
    <row r="981" spans="1:10" x14ac:dyDescent="0.3">
      <c r="A981">
        <v>2191.2064999999998</v>
      </c>
      <c r="B981">
        <v>28.98</v>
      </c>
      <c r="G981" t="s">
        <v>20</v>
      </c>
      <c r="H981" s="1">
        <v>45240</v>
      </c>
      <c r="I981" s="1">
        <v>45250</v>
      </c>
      <c r="J981">
        <f t="shared" si="16"/>
        <v>10</v>
      </c>
    </row>
    <row r="982" spans="1:10" x14ac:dyDescent="0.3">
      <c r="A982">
        <v>10745.6</v>
      </c>
      <c r="B982">
        <v>15.6</v>
      </c>
      <c r="G982" t="s">
        <v>22</v>
      </c>
      <c r="H982" s="1">
        <v>45684</v>
      </c>
      <c r="I982" s="1">
        <v>45690</v>
      </c>
      <c r="J982">
        <f t="shared" si="16"/>
        <v>6</v>
      </c>
    </row>
    <row r="983" spans="1:10" x14ac:dyDescent="0.3">
      <c r="A983">
        <v>309.27</v>
      </c>
      <c r="B983">
        <v>46.47</v>
      </c>
      <c r="G983" t="s">
        <v>20</v>
      </c>
      <c r="H983" s="1">
        <v>45408</v>
      </c>
      <c r="I983" s="1">
        <v>45412</v>
      </c>
      <c r="J983">
        <f t="shared" si="16"/>
        <v>4</v>
      </c>
    </row>
    <row r="984" spans="1:10" x14ac:dyDescent="0.3">
      <c r="A984">
        <v>878.04</v>
      </c>
      <c r="B984">
        <v>48.84</v>
      </c>
      <c r="G984" t="s">
        <v>19</v>
      </c>
      <c r="H984" s="1">
        <v>45257</v>
      </c>
      <c r="I984" s="1">
        <v>45261</v>
      </c>
      <c r="J984">
        <f t="shared" si="16"/>
        <v>4</v>
      </c>
    </row>
    <row r="985" spans="1:10" x14ac:dyDescent="0.3">
      <c r="A985">
        <v>2879.375</v>
      </c>
      <c r="B985">
        <v>36.56</v>
      </c>
      <c r="G985" t="s">
        <v>22</v>
      </c>
      <c r="H985" s="1">
        <v>45015</v>
      </c>
      <c r="I985" s="1">
        <v>45022</v>
      </c>
      <c r="J985">
        <f t="shared" si="16"/>
        <v>7</v>
      </c>
    </row>
    <row r="986" spans="1:10" x14ac:dyDescent="0.3">
      <c r="A986">
        <v>478.08</v>
      </c>
      <c r="B986">
        <v>43.84</v>
      </c>
      <c r="G986" t="s">
        <v>21</v>
      </c>
      <c r="H986" s="1">
        <v>45355</v>
      </c>
      <c r="I986" s="1">
        <v>45362</v>
      </c>
      <c r="J986">
        <f t="shared" si="16"/>
        <v>7</v>
      </c>
    </row>
    <row r="987" spans="1:10" x14ac:dyDescent="0.3">
      <c r="A987">
        <v>4566.7439999999997</v>
      </c>
      <c r="B987">
        <v>36.729999999999997</v>
      </c>
      <c r="G987" t="s">
        <v>20</v>
      </c>
      <c r="H987" s="1">
        <v>45118</v>
      </c>
      <c r="I987" s="1">
        <v>45122</v>
      </c>
      <c r="J987">
        <f t="shared" si="16"/>
        <v>4</v>
      </c>
    </row>
    <row r="988" spans="1:10" x14ac:dyDescent="0.3">
      <c r="A988">
        <v>3306.78</v>
      </c>
      <c r="B988">
        <v>14.67</v>
      </c>
      <c r="G988" t="s">
        <v>23</v>
      </c>
      <c r="H988" s="1">
        <v>45555</v>
      </c>
      <c r="I988" s="1">
        <v>45564</v>
      </c>
      <c r="J988">
        <f t="shared" si="16"/>
        <v>9</v>
      </c>
    </row>
    <row r="989" spans="1:10" x14ac:dyDescent="0.3">
      <c r="A989">
        <v>73.853999999999999</v>
      </c>
      <c r="B989">
        <v>11.11</v>
      </c>
      <c r="G989" t="s">
        <v>23</v>
      </c>
      <c r="H989" s="1">
        <v>45706</v>
      </c>
      <c r="I989" s="1">
        <v>45712</v>
      </c>
      <c r="J989">
        <f t="shared" si="16"/>
        <v>6</v>
      </c>
    </row>
    <row r="990" spans="1:10" x14ac:dyDescent="0.3">
      <c r="A990">
        <v>2965.837</v>
      </c>
      <c r="B990">
        <v>42.72</v>
      </c>
      <c r="G990" t="s">
        <v>19</v>
      </c>
      <c r="H990" s="1">
        <v>45489</v>
      </c>
      <c r="I990" s="1">
        <v>45493</v>
      </c>
      <c r="J990">
        <f t="shared" si="16"/>
        <v>4</v>
      </c>
    </row>
    <row r="991" spans="1:10" x14ac:dyDescent="0.3">
      <c r="A991">
        <v>456.13799999999998</v>
      </c>
      <c r="B991">
        <v>49.64</v>
      </c>
      <c r="G991" t="s">
        <v>19</v>
      </c>
      <c r="H991" s="1">
        <v>45253</v>
      </c>
      <c r="I991" s="1">
        <v>45255</v>
      </c>
      <c r="J991">
        <f t="shared" si="16"/>
        <v>2</v>
      </c>
    </row>
    <row r="992" spans="1:10" x14ac:dyDescent="0.3">
      <c r="A992">
        <v>2074.6080000000002</v>
      </c>
      <c r="B992">
        <v>7.33</v>
      </c>
      <c r="G992" t="s">
        <v>20</v>
      </c>
      <c r="H992" s="1">
        <v>45176</v>
      </c>
      <c r="I992" s="1">
        <v>45178</v>
      </c>
      <c r="J992">
        <f t="shared" si="16"/>
        <v>2</v>
      </c>
    </row>
    <row r="993" spans="1:10" x14ac:dyDescent="0.3">
      <c r="A993">
        <v>1880.1914999999999</v>
      </c>
      <c r="B993">
        <v>48.42</v>
      </c>
      <c r="G993" t="s">
        <v>23</v>
      </c>
      <c r="H993" s="1">
        <v>45323</v>
      </c>
      <c r="I993" s="1">
        <v>45326</v>
      </c>
      <c r="J993">
        <f t="shared" si="16"/>
        <v>3</v>
      </c>
    </row>
    <row r="994" spans="1:10" x14ac:dyDescent="0.3">
      <c r="A994">
        <v>5795.9550000000008</v>
      </c>
      <c r="B994">
        <v>36.590000000000003</v>
      </c>
      <c r="G994" t="s">
        <v>20</v>
      </c>
      <c r="H994" s="1">
        <v>45785</v>
      </c>
      <c r="I994" s="1">
        <v>45789</v>
      </c>
      <c r="J994">
        <f t="shared" si="16"/>
        <v>4</v>
      </c>
    </row>
    <row r="995" spans="1:10" x14ac:dyDescent="0.3">
      <c r="A995">
        <v>1346.31</v>
      </c>
      <c r="B995">
        <v>28.5</v>
      </c>
      <c r="G995" t="s">
        <v>21</v>
      </c>
      <c r="H995" s="1">
        <v>45674</v>
      </c>
      <c r="I995" s="1">
        <v>45681</v>
      </c>
      <c r="J995">
        <f t="shared" si="16"/>
        <v>7</v>
      </c>
    </row>
    <row r="996" spans="1:10" x14ac:dyDescent="0.3">
      <c r="A996">
        <v>1659.87</v>
      </c>
      <c r="B996">
        <v>30.78</v>
      </c>
      <c r="G996" t="s">
        <v>19</v>
      </c>
      <c r="H996" s="1">
        <v>45171</v>
      </c>
      <c r="I996" s="1">
        <v>45177</v>
      </c>
      <c r="J996">
        <f t="shared" si="16"/>
        <v>6</v>
      </c>
    </row>
    <row r="997" spans="1:10" x14ac:dyDescent="0.3">
      <c r="A997">
        <v>9505.6</v>
      </c>
      <c r="B997">
        <v>18.2</v>
      </c>
      <c r="G997" t="s">
        <v>22</v>
      </c>
      <c r="H997" s="1">
        <v>45100</v>
      </c>
      <c r="I997" s="1">
        <v>45108</v>
      </c>
      <c r="J997">
        <f t="shared" si="16"/>
        <v>8</v>
      </c>
    </row>
    <row r="998" spans="1:10" x14ac:dyDescent="0.3">
      <c r="A998">
        <v>8243.3970000000008</v>
      </c>
      <c r="B998">
        <v>25.96</v>
      </c>
      <c r="G998" t="s">
        <v>19</v>
      </c>
      <c r="H998" s="1">
        <v>45311</v>
      </c>
      <c r="I998" s="1">
        <v>45317</v>
      </c>
      <c r="J998">
        <f t="shared" si="16"/>
        <v>6</v>
      </c>
    </row>
    <row r="999" spans="1:10" x14ac:dyDescent="0.3">
      <c r="A999">
        <v>1433.55</v>
      </c>
      <c r="B999">
        <v>44.77</v>
      </c>
      <c r="G999" t="s">
        <v>19</v>
      </c>
      <c r="H999" s="1">
        <v>45469</v>
      </c>
      <c r="I999" s="1">
        <v>45479</v>
      </c>
      <c r="J999">
        <f t="shared" si="16"/>
        <v>10</v>
      </c>
    </row>
    <row r="1000" spans="1:10" x14ac:dyDescent="0.3">
      <c r="A1000">
        <v>889.59600000000012</v>
      </c>
      <c r="B1000">
        <v>13.45</v>
      </c>
      <c r="G1000" t="s">
        <v>22</v>
      </c>
      <c r="H1000" s="1">
        <v>45638</v>
      </c>
      <c r="I1000" s="1">
        <v>45643</v>
      </c>
      <c r="J1000">
        <f t="shared" si="16"/>
        <v>5</v>
      </c>
    </row>
    <row r="1001" spans="1:10" x14ac:dyDescent="0.3">
      <c r="A1001">
        <v>1607.6849999999999</v>
      </c>
      <c r="B1001">
        <v>18.21</v>
      </c>
      <c r="G1001" t="s">
        <v>19</v>
      </c>
      <c r="H1001" s="1">
        <v>45343</v>
      </c>
      <c r="I1001" s="1">
        <v>45352</v>
      </c>
      <c r="J1001">
        <f t="shared" si="16"/>
        <v>9</v>
      </c>
    </row>
    <row r="1002" spans="1:10" x14ac:dyDescent="0.3">
      <c r="A1002">
        <v>364.68</v>
      </c>
      <c r="B1002">
        <v>29.06</v>
      </c>
      <c r="G1002" t="s">
        <v>19</v>
      </c>
      <c r="H1002" s="1">
        <v>45125</v>
      </c>
      <c r="I1002" s="1">
        <v>45132</v>
      </c>
      <c r="J1002">
        <f t="shared" si="16"/>
        <v>7</v>
      </c>
    </row>
    <row r="1003" spans="1:10" x14ac:dyDescent="0.3">
      <c r="A1003">
        <v>5591.28</v>
      </c>
      <c r="B1003">
        <v>34.159999999999997</v>
      </c>
      <c r="G1003" t="s">
        <v>21</v>
      </c>
      <c r="H1003" s="1">
        <v>45567</v>
      </c>
      <c r="I1003" s="1">
        <v>45571</v>
      </c>
      <c r="J1003">
        <f t="shared" si="16"/>
        <v>4</v>
      </c>
    </row>
    <row r="1004" spans="1:10" x14ac:dyDescent="0.3">
      <c r="A1004">
        <v>1915.56</v>
      </c>
      <c r="B1004">
        <v>17.739999999999998</v>
      </c>
      <c r="G1004" t="s">
        <v>23</v>
      </c>
      <c r="H1004" s="1">
        <v>45627</v>
      </c>
      <c r="I1004" s="1">
        <v>45630</v>
      </c>
      <c r="J1004">
        <f t="shared" si="16"/>
        <v>3</v>
      </c>
    </row>
    <row r="1005" spans="1:10" x14ac:dyDescent="0.3">
      <c r="A1005">
        <v>477.10500000000002</v>
      </c>
      <c r="B1005">
        <v>5.19</v>
      </c>
      <c r="G1005" t="s">
        <v>19</v>
      </c>
      <c r="H1005" s="1">
        <v>45538</v>
      </c>
      <c r="I1005" s="1">
        <v>45547</v>
      </c>
      <c r="J1005">
        <f t="shared" si="16"/>
        <v>9</v>
      </c>
    </row>
    <row r="1006" spans="1:10" x14ac:dyDescent="0.3">
      <c r="A1006">
        <v>1060.6469999999999</v>
      </c>
      <c r="B1006">
        <v>44.91</v>
      </c>
      <c r="G1006" t="s">
        <v>23</v>
      </c>
      <c r="H1006" s="1">
        <v>45710</v>
      </c>
      <c r="I1006" s="1">
        <v>45717</v>
      </c>
      <c r="J1006">
        <f t="shared" si="16"/>
        <v>7</v>
      </c>
    </row>
    <row r="1007" spans="1:10" x14ac:dyDescent="0.3">
      <c r="A1007">
        <v>9398.11</v>
      </c>
      <c r="B1007">
        <v>20.5</v>
      </c>
      <c r="G1007" t="s">
        <v>23</v>
      </c>
      <c r="H1007" s="1">
        <v>45788</v>
      </c>
      <c r="I1007" s="1">
        <v>45790</v>
      </c>
      <c r="J1007">
        <f t="shared" si="16"/>
        <v>2</v>
      </c>
    </row>
    <row r="1008" spans="1:10" x14ac:dyDescent="0.3">
      <c r="A1008">
        <v>916.5</v>
      </c>
      <c r="B1008">
        <v>25.94</v>
      </c>
      <c r="G1008" t="s">
        <v>22</v>
      </c>
      <c r="H1008" s="1">
        <v>45646</v>
      </c>
      <c r="I1008" s="1">
        <v>45655</v>
      </c>
      <c r="J1008">
        <f t="shared" si="16"/>
        <v>9</v>
      </c>
    </row>
    <row r="1009" spans="1:10" x14ac:dyDescent="0.3">
      <c r="A1009">
        <v>245.917</v>
      </c>
      <c r="B1009">
        <v>6.91</v>
      </c>
      <c r="G1009" t="s">
        <v>19</v>
      </c>
      <c r="H1009" s="1">
        <v>45034</v>
      </c>
      <c r="I1009" s="1">
        <v>45037</v>
      </c>
      <c r="J1009">
        <f t="shared" si="16"/>
        <v>3</v>
      </c>
    </row>
    <row r="1010" spans="1:10" x14ac:dyDescent="0.3">
      <c r="A1010">
        <v>7664.3909999999996</v>
      </c>
      <c r="B1010">
        <v>30.71</v>
      </c>
      <c r="G1010" t="s">
        <v>19</v>
      </c>
      <c r="H1010" s="1">
        <v>45533</v>
      </c>
      <c r="I1010" s="1">
        <v>45538</v>
      </c>
      <c r="J1010">
        <f t="shared" si="16"/>
        <v>5</v>
      </c>
    </row>
    <row r="1011" spans="1:10" x14ac:dyDescent="0.3">
      <c r="A1011">
        <v>6695.2960000000003</v>
      </c>
      <c r="B1011">
        <v>26.87</v>
      </c>
      <c r="G1011" t="s">
        <v>21</v>
      </c>
      <c r="H1011" s="1">
        <v>45172</v>
      </c>
      <c r="I1011" s="1">
        <v>45179</v>
      </c>
      <c r="J1011">
        <f t="shared" si="16"/>
        <v>7</v>
      </c>
    </row>
    <row r="1012" spans="1:10" x14ac:dyDescent="0.3">
      <c r="A1012">
        <v>2100.96</v>
      </c>
      <c r="B1012">
        <v>36.729999999999997</v>
      </c>
      <c r="G1012" t="s">
        <v>19</v>
      </c>
      <c r="H1012" s="1">
        <v>45796</v>
      </c>
      <c r="I1012" s="1">
        <v>45801</v>
      </c>
      <c r="J1012">
        <f t="shared" si="16"/>
        <v>5</v>
      </c>
    </row>
    <row r="1013" spans="1:10" x14ac:dyDescent="0.3">
      <c r="A1013">
        <v>1686.2850000000001</v>
      </c>
      <c r="B1013">
        <v>31.95</v>
      </c>
      <c r="G1013" t="s">
        <v>19</v>
      </c>
      <c r="H1013" s="1">
        <v>45095</v>
      </c>
      <c r="I1013" s="1">
        <v>45103</v>
      </c>
      <c r="J1013">
        <f t="shared" si="16"/>
        <v>8</v>
      </c>
    </row>
    <row r="1014" spans="1:10" x14ac:dyDescent="0.3">
      <c r="A1014">
        <v>3167.1</v>
      </c>
      <c r="B1014">
        <v>46.76</v>
      </c>
      <c r="G1014" t="s">
        <v>23</v>
      </c>
      <c r="H1014" s="1">
        <v>45826</v>
      </c>
      <c r="I1014" s="1">
        <v>45830</v>
      </c>
      <c r="J1014">
        <f t="shared" si="16"/>
        <v>4</v>
      </c>
    </row>
    <row r="1015" spans="1:10" x14ac:dyDescent="0.3">
      <c r="A1015">
        <v>2327.31</v>
      </c>
      <c r="B1015">
        <v>26.4</v>
      </c>
      <c r="G1015" t="s">
        <v>20</v>
      </c>
      <c r="H1015" s="1">
        <v>45564</v>
      </c>
      <c r="I1015" s="1">
        <v>45572</v>
      </c>
      <c r="J1015">
        <f t="shared" si="16"/>
        <v>8</v>
      </c>
    </row>
    <row r="1016" spans="1:10" x14ac:dyDescent="0.3">
      <c r="A1016">
        <v>231.88</v>
      </c>
      <c r="B1016">
        <v>33.6</v>
      </c>
      <c r="G1016" t="s">
        <v>19</v>
      </c>
      <c r="H1016" s="1">
        <v>45347</v>
      </c>
      <c r="I1016" s="1">
        <v>45355</v>
      </c>
      <c r="J1016">
        <f t="shared" si="16"/>
        <v>8</v>
      </c>
    </row>
    <row r="1017" spans="1:10" x14ac:dyDescent="0.3">
      <c r="A1017">
        <v>6981.1699999999992</v>
      </c>
      <c r="B1017">
        <v>20.23</v>
      </c>
      <c r="G1017" t="s">
        <v>21</v>
      </c>
      <c r="H1017" s="1">
        <v>45372</v>
      </c>
      <c r="I1017" s="1">
        <v>45381</v>
      </c>
      <c r="J1017">
        <f t="shared" si="16"/>
        <v>9</v>
      </c>
    </row>
    <row r="1018" spans="1:10" x14ac:dyDescent="0.3">
      <c r="A1018">
        <v>1036.44</v>
      </c>
      <c r="B1018">
        <v>28.09</v>
      </c>
      <c r="G1018" t="s">
        <v>21</v>
      </c>
      <c r="H1018" s="1">
        <v>45325</v>
      </c>
      <c r="I1018" s="1">
        <v>45331</v>
      </c>
      <c r="J1018">
        <f t="shared" si="16"/>
        <v>6</v>
      </c>
    </row>
    <row r="1019" spans="1:10" x14ac:dyDescent="0.3">
      <c r="A1019">
        <v>1038.3119999999999</v>
      </c>
      <c r="B1019">
        <v>43.32</v>
      </c>
      <c r="G1019" t="s">
        <v>20</v>
      </c>
      <c r="H1019" s="1">
        <v>45251</v>
      </c>
      <c r="I1019" s="1">
        <v>45254</v>
      </c>
      <c r="J1019">
        <f t="shared" si="16"/>
        <v>3</v>
      </c>
    </row>
    <row r="1020" spans="1:10" x14ac:dyDescent="0.3">
      <c r="A1020">
        <v>3513.72</v>
      </c>
      <c r="B1020">
        <v>14.94</v>
      </c>
      <c r="G1020" t="s">
        <v>23</v>
      </c>
      <c r="H1020" s="1">
        <v>44936</v>
      </c>
      <c r="I1020" s="1">
        <v>44944</v>
      </c>
      <c r="J1020">
        <f t="shared" si="16"/>
        <v>8</v>
      </c>
    </row>
    <row r="1021" spans="1:10" x14ac:dyDescent="0.3">
      <c r="A1021">
        <v>2347.87</v>
      </c>
      <c r="B1021">
        <v>18.91</v>
      </c>
      <c r="G1021" t="s">
        <v>22</v>
      </c>
      <c r="H1021" s="1">
        <v>44963</v>
      </c>
      <c r="I1021" s="1">
        <v>44967</v>
      </c>
      <c r="J1021">
        <f t="shared" si="16"/>
        <v>4</v>
      </c>
    </row>
    <row r="1022" spans="1:10" x14ac:dyDescent="0.3">
      <c r="A1022">
        <v>2249.5</v>
      </c>
      <c r="B1022">
        <v>13.82</v>
      </c>
      <c r="G1022" t="s">
        <v>21</v>
      </c>
      <c r="H1022" s="1">
        <v>45757</v>
      </c>
      <c r="I1022" s="1">
        <v>45767</v>
      </c>
      <c r="J1022">
        <f t="shared" si="16"/>
        <v>10</v>
      </c>
    </row>
    <row r="1023" spans="1:10" x14ac:dyDescent="0.3">
      <c r="A1023">
        <v>515.49849999999992</v>
      </c>
      <c r="B1023">
        <v>33.200000000000003</v>
      </c>
      <c r="G1023" t="s">
        <v>19</v>
      </c>
      <c r="H1023" s="1">
        <v>45336</v>
      </c>
      <c r="I1023" s="1">
        <v>45343</v>
      </c>
      <c r="J1023">
        <f t="shared" si="16"/>
        <v>7</v>
      </c>
    </row>
    <row r="1024" spans="1:10" x14ac:dyDescent="0.3">
      <c r="A1024">
        <v>184.08600000000001</v>
      </c>
      <c r="B1024">
        <v>17.760000000000002</v>
      </c>
      <c r="G1024" t="s">
        <v>19</v>
      </c>
      <c r="H1024" s="1">
        <v>45803</v>
      </c>
      <c r="I1024" s="1">
        <v>45806</v>
      </c>
      <c r="J1024">
        <f t="shared" si="16"/>
        <v>3</v>
      </c>
    </row>
    <row r="1025" spans="1:10" x14ac:dyDescent="0.3">
      <c r="A1025">
        <v>3566.43</v>
      </c>
      <c r="B1025">
        <v>13.09</v>
      </c>
      <c r="G1025" t="s">
        <v>23</v>
      </c>
      <c r="H1025" s="1">
        <v>45181</v>
      </c>
      <c r="I1025" s="1">
        <v>45188</v>
      </c>
      <c r="J1025">
        <f t="shared" si="16"/>
        <v>7</v>
      </c>
    </row>
    <row r="1026" spans="1:10" x14ac:dyDescent="0.3">
      <c r="A1026">
        <v>522.88599999999997</v>
      </c>
      <c r="B1026">
        <v>22.2</v>
      </c>
      <c r="G1026" t="s">
        <v>19</v>
      </c>
      <c r="H1026" s="1">
        <v>45063</v>
      </c>
      <c r="I1026" s="1">
        <v>45072</v>
      </c>
      <c r="J1026">
        <f t="shared" si="16"/>
        <v>9</v>
      </c>
    </row>
    <row r="1027" spans="1:10" x14ac:dyDescent="0.3">
      <c r="A1027">
        <v>2572.752</v>
      </c>
      <c r="B1027">
        <v>38.46</v>
      </c>
      <c r="G1027" t="s">
        <v>23</v>
      </c>
      <c r="H1027" s="1">
        <v>45320</v>
      </c>
      <c r="I1027" s="1">
        <v>45322</v>
      </c>
      <c r="J1027">
        <f t="shared" ref="J1027:J1090" si="17">I1027-H1027</f>
        <v>2</v>
      </c>
    </row>
    <row r="1028" spans="1:10" x14ac:dyDescent="0.3">
      <c r="A1028">
        <v>922.64</v>
      </c>
      <c r="B1028">
        <v>30.03</v>
      </c>
      <c r="G1028" t="s">
        <v>21</v>
      </c>
      <c r="H1028" s="1">
        <v>45786</v>
      </c>
      <c r="I1028" s="1">
        <v>45795</v>
      </c>
      <c r="J1028">
        <f t="shared" si="17"/>
        <v>9</v>
      </c>
    </row>
    <row r="1029" spans="1:10" x14ac:dyDescent="0.3">
      <c r="A1029">
        <v>1642.36</v>
      </c>
      <c r="B1029">
        <v>17.36</v>
      </c>
      <c r="G1029" t="s">
        <v>19</v>
      </c>
      <c r="H1029" s="1">
        <v>45387</v>
      </c>
      <c r="I1029" s="1">
        <v>45391</v>
      </c>
      <c r="J1029">
        <f t="shared" si="17"/>
        <v>4</v>
      </c>
    </row>
    <row r="1030" spans="1:10" x14ac:dyDescent="0.3">
      <c r="A1030">
        <v>27.871500000000001</v>
      </c>
      <c r="B1030">
        <v>19.010000000000002</v>
      </c>
      <c r="G1030" t="s">
        <v>20</v>
      </c>
      <c r="H1030" s="1">
        <v>45505</v>
      </c>
      <c r="I1030" s="1">
        <v>45514</v>
      </c>
      <c r="J1030">
        <f t="shared" si="17"/>
        <v>9</v>
      </c>
    </row>
    <row r="1031" spans="1:10" x14ac:dyDescent="0.3">
      <c r="A1031">
        <v>3003.2</v>
      </c>
      <c r="B1031">
        <v>41.66</v>
      </c>
      <c r="G1031" t="s">
        <v>20</v>
      </c>
      <c r="H1031" s="1">
        <v>45483</v>
      </c>
      <c r="I1031" s="1">
        <v>45485</v>
      </c>
      <c r="J1031">
        <f t="shared" si="17"/>
        <v>2</v>
      </c>
    </row>
    <row r="1032" spans="1:10" x14ac:dyDescent="0.3">
      <c r="A1032">
        <v>354.96900000000011</v>
      </c>
      <c r="B1032">
        <v>6.37</v>
      </c>
      <c r="G1032" t="s">
        <v>19</v>
      </c>
      <c r="H1032" s="1">
        <v>45458</v>
      </c>
      <c r="I1032" s="1">
        <v>45463</v>
      </c>
      <c r="J1032">
        <f t="shared" si="17"/>
        <v>5</v>
      </c>
    </row>
    <row r="1033" spans="1:10" x14ac:dyDescent="0.3">
      <c r="A1033">
        <v>2730.4380000000001</v>
      </c>
      <c r="B1033">
        <v>48.66</v>
      </c>
      <c r="G1033" t="s">
        <v>19</v>
      </c>
      <c r="H1033" s="1">
        <v>45434</v>
      </c>
      <c r="I1033" s="1">
        <v>45441</v>
      </c>
      <c r="J1033">
        <f t="shared" si="17"/>
        <v>7</v>
      </c>
    </row>
    <row r="1034" spans="1:10" x14ac:dyDescent="0.3">
      <c r="A1034">
        <v>7361.1509999999998</v>
      </c>
      <c r="B1034">
        <v>38.979999999999997</v>
      </c>
      <c r="G1034" t="s">
        <v>19</v>
      </c>
      <c r="H1034" s="1">
        <v>45305</v>
      </c>
      <c r="I1034" s="1">
        <v>45309</v>
      </c>
      <c r="J1034">
        <f t="shared" si="17"/>
        <v>4</v>
      </c>
    </row>
    <row r="1035" spans="1:10" x14ac:dyDescent="0.3">
      <c r="A1035">
        <v>1836.616</v>
      </c>
      <c r="B1035">
        <v>39.64</v>
      </c>
      <c r="G1035" t="s">
        <v>21</v>
      </c>
      <c r="H1035" s="1">
        <v>45596</v>
      </c>
      <c r="I1035" s="1">
        <v>45598</v>
      </c>
      <c r="J1035">
        <f t="shared" si="17"/>
        <v>2</v>
      </c>
    </row>
    <row r="1036" spans="1:10" x14ac:dyDescent="0.3">
      <c r="A1036">
        <v>249.03899999999999</v>
      </c>
      <c r="B1036">
        <v>18.16</v>
      </c>
      <c r="G1036" t="s">
        <v>23</v>
      </c>
      <c r="H1036" s="1">
        <v>45405</v>
      </c>
      <c r="I1036" s="1">
        <v>45411</v>
      </c>
      <c r="J1036">
        <f t="shared" si="17"/>
        <v>6</v>
      </c>
    </row>
    <row r="1037" spans="1:10" x14ac:dyDescent="0.3">
      <c r="A1037">
        <v>425.75200000000001</v>
      </c>
      <c r="B1037">
        <v>47.35</v>
      </c>
      <c r="G1037" t="s">
        <v>20</v>
      </c>
      <c r="H1037" s="1">
        <v>45091</v>
      </c>
      <c r="I1037" s="1">
        <v>45097</v>
      </c>
      <c r="J1037">
        <f t="shared" si="17"/>
        <v>6</v>
      </c>
    </row>
    <row r="1038" spans="1:10" x14ac:dyDescent="0.3">
      <c r="A1038">
        <v>3992.7359999999999</v>
      </c>
      <c r="B1038">
        <v>5.95</v>
      </c>
      <c r="G1038" t="s">
        <v>21</v>
      </c>
      <c r="H1038" s="1">
        <v>45350</v>
      </c>
      <c r="I1038" s="1">
        <v>45353</v>
      </c>
      <c r="J1038">
        <f t="shared" si="17"/>
        <v>3</v>
      </c>
    </row>
    <row r="1039" spans="1:10" x14ac:dyDescent="0.3">
      <c r="A1039">
        <v>756.58949999999993</v>
      </c>
      <c r="B1039">
        <v>35.6</v>
      </c>
      <c r="G1039" t="s">
        <v>20</v>
      </c>
      <c r="H1039" s="1">
        <v>45462</v>
      </c>
      <c r="I1039" s="1">
        <v>45469</v>
      </c>
      <c r="J1039">
        <f t="shared" si="17"/>
        <v>7</v>
      </c>
    </row>
    <row r="1040" spans="1:10" x14ac:dyDescent="0.3">
      <c r="A1040">
        <v>2642.9</v>
      </c>
      <c r="B1040">
        <v>30.22</v>
      </c>
      <c r="G1040" t="s">
        <v>22</v>
      </c>
      <c r="H1040" s="1">
        <v>45003</v>
      </c>
      <c r="I1040" s="1">
        <v>45005</v>
      </c>
      <c r="J1040">
        <f t="shared" si="17"/>
        <v>2</v>
      </c>
    </row>
    <row r="1041" spans="1:10" x14ac:dyDescent="0.3">
      <c r="A1041">
        <v>5512.1850000000004</v>
      </c>
      <c r="B1041">
        <v>30.06</v>
      </c>
      <c r="G1041" t="s">
        <v>23</v>
      </c>
      <c r="H1041" s="1">
        <v>45006</v>
      </c>
      <c r="I1041" s="1">
        <v>45016</v>
      </c>
      <c r="J1041">
        <f t="shared" si="17"/>
        <v>10</v>
      </c>
    </row>
    <row r="1042" spans="1:10" x14ac:dyDescent="0.3">
      <c r="A1042">
        <v>4817.5200000000004</v>
      </c>
      <c r="B1042">
        <v>37.42</v>
      </c>
      <c r="G1042" t="s">
        <v>19</v>
      </c>
      <c r="H1042" s="1">
        <v>45440</v>
      </c>
      <c r="I1042" s="1">
        <v>45444</v>
      </c>
      <c r="J1042">
        <f t="shared" si="17"/>
        <v>4</v>
      </c>
    </row>
    <row r="1043" spans="1:10" x14ac:dyDescent="0.3">
      <c r="A1043">
        <v>6649.6</v>
      </c>
      <c r="B1043">
        <v>7.79</v>
      </c>
      <c r="G1043" t="s">
        <v>23</v>
      </c>
      <c r="H1043" s="1">
        <v>45012</v>
      </c>
      <c r="I1043" s="1">
        <v>45015</v>
      </c>
      <c r="J1043">
        <f t="shared" si="17"/>
        <v>3</v>
      </c>
    </row>
    <row r="1044" spans="1:10" x14ac:dyDescent="0.3">
      <c r="A1044">
        <v>123.4</v>
      </c>
      <c r="B1044">
        <v>12.63</v>
      </c>
      <c r="G1044" t="s">
        <v>22</v>
      </c>
      <c r="H1044" s="1">
        <v>45096</v>
      </c>
      <c r="I1044" s="1">
        <v>45102</v>
      </c>
      <c r="J1044">
        <f t="shared" si="17"/>
        <v>6</v>
      </c>
    </row>
    <row r="1045" spans="1:10" x14ac:dyDescent="0.3">
      <c r="A1045">
        <v>251.541</v>
      </c>
      <c r="B1045">
        <v>46.45</v>
      </c>
      <c r="G1045" t="s">
        <v>20</v>
      </c>
      <c r="H1045" s="1">
        <v>45230</v>
      </c>
      <c r="I1045" s="1">
        <v>45237</v>
      </c>
      <c r="J1045">
        <f t="shared" si="17"/>
        <v>7</v>
      </c>
    </row>
    <row r="1046" spans="1:10" x14ac:dyDescent="0.3">
      <c r="A1046">
        <v>590.96699999999998</v>
      </c>
      <c r="B1046">
        <v>40.57</v>
      </c>
      <c r="G1046" t="s">
        <v>23</v>
      </c>
      <c r="H1046" s="1">
        <v>45118</v>
      </c>
      <c r="I1046" s="1">
        <v>45125</v>
      </c>
      <c r="J1046">
        <f t="shared" si="17"/>
        <v>7</v>
      </c>
    </row>
    <row r="1047" spans="1:10" x14ac:dyDescent="0.3">
      <c r="A1047">
        <v>2486.9955</v>
      </c>
      <c r="B1047">
        <v>44.7</v>
      </c>
      <c r="G1047" t="s">
        <v>20</v>
      </c>
      <c r="H1047" s="1">
        <v>45065</v>
      </c>
      <c r="I1047" s="1">
        <v>45074</v>
      </c>
      <c r="J1047">
        <f t="shared" si="17"/>
        <v>9</v>
      </c>
    </row>
    <row r="1048" spans="1:10" x14ac:dyDescent="0.3">
      <c r="A1048">
        <v>2064.65</v>
      </c>
      <c r="B1048">
        <v>15.78</v>
      </c>
      <c r="G1048" t="s">
        <v>21</v>
      </c>
      <c r="H1048" s="1">
        <v>45143</v>
      </c>
      <c r="I1048" s="1">
        <v>45148</v>
      </c>
      <c r="J1048">
        <f t="shared" si="17"/>
        <v>5</v>
      </c>
    </row>
    <row r="1049" spans="1:10" x14ac:dyDescent="0.3">
      <c r="A1049">
        <v>2766.96</v>
      </c>
      <c r="B1049">
        <v>48.83</v>
      </c>
      <c r="G1049" t="s">
        <v>23</v>
      </c>
      <c r="H1049" s="1">
        <v>45009</v>
      </c>
      <c r="I1049" s="1">
        <v>45019</v>
      </c>
      <c r="J1049">
        <f t="shared" si="17"/>
        <v>10</v>
      </c>
    </row>
    <row r="1050" spans="1:10" x14ac:dyDescent="0.3">
      <c r="A1050">
        <v>359.4325</v>
      </c>
      <c r="B1050">
        <v>20.97</v>
      </c>
      <c r="G1050" t="s">
        <v>23</v>
      </c>
      <c r="H1050" s="1">
        <v>45702</v>
      </c>
      <c r="I1050" s="1">
        <v>45705</v>
      </c>
      <c r="J1050">
        <f t="shared" si="17"/>
        <v>3</v>
      </c>
    </row>
    <row r="1051" spans="1:10" x14ac:dyDescent="0.3">
      <c r="A1051">
        <v>461.35</v>
      </c>
      <c r="B1051">
        <v>43.74</v>
      </c>
      <c r="G1051" t="s">
        <v>21</v>
      </c>
      <c r="H1051" s="1">
        <v>45640</v>
      </c>
      <c r="I1051" s="1">
        <v>45642</v>
      </c>
      <c r="J1051">
        <f t="shared" si="17"/>
        <v>2</v>
      </c>
    </row>
    <row r="1052" spans="1:10" x14ac:dyDescent="0.3">
      <c r="A1052">
        <v>7098</v>
      </c>
      <c r="B1052">
        <v>43.24</v>
      </c>
      <c r="G1052" t="s">
        <v>20</v>
      </c>
      <c r="H1052" s="1">
        <v>45105</v>
      </c>
      <c r="I1052" s="1">
        <v>45108</v>
      </c>
      <c r="J1052">
        <f t="shared" si="17"/>
        <v>3</v>
      </c>
    </row>
    <row r="1053" spans="1:10" x14ac:dyDescent="0.3">
      <c r="A1053">
        <v>2761.9830000000002</v>
      </c>
      <c r="B1053">
        <v>47.77</v>
      </c>
      <c r="G1053" t="s">
        <v>23</v>
      </c>
      <c r="H1053" s="1">
        <v>44950</v>
      </c>
      <c r="I1053" s="1">
        <v>44954</v>
      </c>
      <c r="J1053">
        <f t="shared" si="17"/>
        <v>4</v>
      </c>
    </row>
    <row r="1054" spans="1:10" x14ac:dyDescent="0.3">
      <c r="A1054">
        <v>7216.58</v>
      </c>
      <c r="B1054">
        <v>44.76</v>
      </c>
      <c r="G1054" t="s">
        <v>22</v>
      </c>
      <c r="H1054" s="1">
        <v>45464</v>
      </c>
      <c r="I1054" s="1">
        <v>45473</v>
      </c>
      <c r="J1054">
        <f t="shared" si="17"/>
        <v>9</v>
      </c>
    </row>
    <row r="1055" spans="1:10" x14ac:dyDescent="0.3">
      <c r="A1055">
        <v>644.81400000000008</v>
      </c>
      <c r="B1055">
        <v>37.07</v>
      </c>
      <c r="G1055" t="s">
        <v>21</v>
      </c>
      <c r="H1055" s="1">
        <v>45756</v>
      </c>
      <c r="I1055" s="1">
        <v>45765</v>
      </c>
      <c r="J1055">
        <f t="shared" si="17"/>
        <v>9</v>
      </c>
    </row>
    <row r="1056" spans="1:10" x14ac:dyDescent="0.3">
      <c r="A1056">
        <v>4783.5360000000001</v>
      </c>
      <c r="B1056">
        <v>34.97</v>
      </c>
      <c r="G1056" t="s">
        <v>21</v>
      </c>
      <c r="H1056" s="1">
        <v>45668</v>
      </c>
      <c r="I1056" s="1">
        <v>45676</v>
      </c>
      <c r="J1056">
        <f t="shared" si="17"/>
        <v>8</v>
      </c>
    </row>
    <row r="1057" spans="1:10" x14ac:dyDescent="0.3">
      <c r="A1057">
        <v>3886.83</v>
      </c>
      <c r="B1057">
        <v>32.86</v>
      </c>
      <c r="G1057" t="s">
        <v>22</v>
      </c>
      <c r="H1057" s="1">
        <v>45486</v>
      </c>
      <c r="I1057" s="1">
        <v>45493</v>
      </c>
      <c r="J1057">
        <f t="shared" si="17"/>
        <v>7</v>
      </c>
    </row>
    <row r="1058" spans="1:10" x14ac:dyDescent="0.3">
      <c r="A1058">
        <v>3081.078</v>
      </c>
      <c r="B1058">
        <v>19.77</v>
      </c>
      <c r="G1058" t="s">
        <v>23</v>
      </c>
      <c r="H1058" s="1">
        <v>45661</v>
      </c>
      <c r="I1058" s="1">
        <v>45667</v>
      </c>
      <c r="J1058">
        <f t="shared" si="17"/>
        <v>6</v>
      </c>
    </row>
    <row r="1059" spans="1:10" x14ac:dyDescent="0.3">
      <c r="A1059">
        <v>1753.703</v>
      </c>
      <c r="B1059">
        <v>45.75</v>
      </c>
      <c r="G1059" t="s">
        <v>23</v>
      </c>
      <c r="H1059" s="1">
        <v>45224</v>
      </c>
      <c r="I1059" s="1">
        <v>45230</v>
      </c>
      <c r="J1059">
        <f t="shared" si="17"/>
        <v>6</v>
      </c>
    </row>
    <row r="1060" spans="1:10" x14ac:dyDescent="0.3">
      <c r="A1060">
        <v>2505.6640000000002</v>
      </c>
      <c r="B1060">
        <v>44.49</v>
      </c>
      <c r="G1060" t="s">
        <v>20</v>
      </c>
      <c r="H1060" s="1">
        <v>45199</v>
      </c>
      <c r="I1060" s="1">
        <v>45201</v>
      </c>
      <c r="J1060">
        <f t="shared" si="17"/>
        <v>2</v>
      </c>
    </row>
    <row r="1061" spans="1:10" x14ac:dyDescent="0.3">
      <c r="A1061">
        <v>8726.4</v>
      </c>
      <c r="B1061">
        <v>37.49</v>
      </c>
      <c r="G1061" t="s">
        <v>21</v>
      </c>
      <c r="H1061" s="1">
        <v>45001</v>
      </c>
      <c r="I1061" s="1">
        <v>45011</v>
      </c>
      <c r="J1061">
        <f t="shared" si="17"/>
        <v>10</v>
      </c>
    </row>
    <row r="1062" spans="1:10" x14ac:dyDescent="0.3">
      <c r="A1062">
        <v>7076.6459999999997</v>
      </c>
      <c r="B1062">
        <v>28.8</v>
      </c>
      <c r="G1062" t="s">
        <v>21</v>
      </c>
      <c r="H1062" s="1">
        <v>45133</v>
      </c>
      <c r="I1062" s="1">
        <v>45140</v>
      </c>
      <c r="J1062">
        <f t="shared" si="17"/>
        <v>7</v>
      </c>
    </row>
    <row r="1063" spans="1:10" x14ac:dyDescent="0.3">
      <c r="A1063">
        <v>622.38299999999992</v>
      </c>
      <c r="B1063">
        <v>19.489999999999998</v>
      </c>
      <c r="G1063" t="s">
        <v>19</v>
      </c>
      <c r="H1063" s="1">
        <v>45117</v>
      </c>
      <c r="I1063" s="1">
        <v>45126</v>
      </c>
      <c r="J1063">
        <f t="shared" si="17"/>
        <v>9</v>
      </c>
    </row>
    <row r="1064" spans="1:10" x14ac:dyDescent="0.3">
      <c r="A1064">
        <v>2854.3319999999999</v>
      </c>
      <c r="B1064">
        <v>9.35</v>
      </c>
      <c r="G1064" t="s">
        <v>19</v>
      </c>
      <c r="H1064" s="1">
        <v>45510</v>
      </c>
      <c r="I1064" s="1">
        <v>45520</v>
      </c>
      <c r="J1064">
        <f t="shared" si="17"/>
        <v>10</v>
      </c>
    </row>
    <row r="1065" spans="1:10" x14ac:dyDescent="0.3">
      <c r="A1065">
        <v>3784.788</v>
      </c>
      <c r="B1065">
        <v>38.6</v>
      </c>
      <c r="G1065" t="s">
        <v>22</v>
      </c>
      <c r="H1065" s="1">
        <v>45489</v>
      </c>
      <c r="I1065" s="1">
        <v>45492</v>
      </c>
      <c r="J1065">
        <f t="shared" si="17"/>
        <v>3</v>
      </c>
    </row>
    <row r="1066" spans="1:10" x14ac:dyDescent="0.3">
      <c r="A1066">
        <v>1161.45</v>
      </c>
      <c r="B1066">
        <v>42.38</v>
      </c>
      <c r="G1066" t="s">
        <v>21</v>
      </c>
      <c r="H1066" s="1">
        <v>45322</v>
      </c>
      <c r="I1066" s="1">
        <v>45331</v>
      </c>
      <c r="J1066">
        <f t="shared" si="17"/>
        <v>9</v>
      </c>
    </row>
    <row r="1067" spans="1:10" x14ac:dyDescent="0.3">
      <c r="A1067">
        <v>173.44</v>
      </c>
      <c r="B1067">
        <v>32.83</v>
      </c>
      <c r="G1067" t="s">
        <v>22</v>
      </c>
      <c r="H1067" s="1">
        <v>45038</v>
      </c>
      <c r="I1067" s="1">
        <v>45040</v>
      </c>
      <c r="J1067">
        <f t="shared" si="17"/>
        <v>2</v>
      </c>
    </row>
    <row r="1068" spans="1:10" x14ac:dyDescent="0.3">
      <c r="A1068">
        <v>1959.471</v>
      </c>
      <c r="B1068">
        <v>5.21</v>
      </c>
      <c r="G1068" t="s">
        <v>19</v>
      </c>
      <c r="H1068" s="1">
        <v>45692</v>
      </c>
      <c r="I1068" s="1">
        <v>45695</v>
      </c>
      <c r="J1068">
        <f t="shared" si="17"/>
        <v>3</v>
      </c>
    </row>
    <row r="1069" spans="1:10" x14ac:dyDescent="0.3">
      <c r="A1069">
        <v>4705.26</v>
      </c>
      <c r="B1069">
        <v>8.6</v>
      </c>
      <c r="G1069" t="s">
        <v>22</v>
      </c>
      <c r="H1069" s="1">
        <v>45529</v>
      </c>
      <c r="I1069" s="1">
        <v>45538</v>
      </c>
      <c r="J1069">
        <f t="shared" si="17"/>
        <v>9</v>
      </c>
    </row>
    <row r="1070" spans="1:10" x14ac:dyDescent="0.3">
      <c r="A1070">
        <v>183.42599999999999</v>
      </c>
      <c r="B1070">
        <v>23.99</v>
      </c>
      <c r="G1070" t="s">
        <v>19</v>
      </c>
      <c r="H1070" s="1">
        <v>45168</v>
      </c>
      <c r="I1070" s="1">
        <v>45174</v>
      </c>
      <c r="J1070">
        <f t="shared" si="17"/>
        <v>6</v>
      </c>
    </row>
    <row r="1071" spans="1:10" x14ac:dyDescent="0.3">
      <c r="A1071">
        <v>891.96450000000004</v>
      </c>
      <c r="B1071">
        <v>20.059999999999999</v>
      </c>
      <c r="G1071" t="s">
        <v>23</v>
      </c>
      <c r="H1071" s="1">
        <v>45175</v>
      </c>
      <c r="I1071" s="1">
        <v>45181</v>
      </c>
      <c r="J1071">
        <f t="shared" si="17"/>
        <v>6</v>
      </c>
    </row>
    <row r="1072" spans="1:10" x14ac:dyDescent="0.3">
      <c r="A1072">
        <v>1220.598</v>
      </c>
      <c r="B1072">
        <v>44.86</v>
      </c>
      <c r="G1072" t="s">
        <v>20</v>
      </c>
      <c r="H1072" s="1">
        <v>45790</v>
      </c>
      <c r="I1072" s="1">
        <v>45798</v>
      </c>
      <c r="J1072">
        <f t="shared" si="17"/>
        <v>8</v>
      </c>
    </row>
    <row r="1073" spans="1:10" x14ac:dyDescent="0.3">
      <c r="A1073">
        <v>215.28</v>
      </c>
      <c r="B1073">
        <v>42.59</v>
      </c>
      <c r="G1073" t="s">
        <v>21</v>
      </c>
      <c r="H1073" s="1">
        <v>45228</v>
      </c>
      <c r="I1073" s="1">
        <v>45236</v>
      </c>
      <c r="J1073">
        <f t="shared" si="17"/>
        <v>8</v>
      </c>
    </row>
    <row r="1074" spans="1:10" x14ac:dyDescent="0.3">
      <c r="A1074">
        <v>3762</v>
      </c>
      <c r="B1074">
        <v>30.45</v>
      </c>
      <c r="G1074" t="s">
        <v>19</v>
      </c>
      <c r="H1074" s="1">
        <v>45455</v>
      </c>
      <c r="I1074" s="1">
        <v>45461</v>
      </c>
      <c r="J1074">
        <f t="shared" si="17"/>
        <v>6</v>
      </c>
    </row>
    <row r="1075" spans="1:10" x14ac:dyDescent="0.3">
      <c r="A1075">
        <v>80.959999999999994</v>
      </c>
      <c r="B1075">
        <v>48.07</v>
      </c>
      <c r="G1075" t="s">
        <v>20</v>
      </c>
      <c r="H1075" s="1">
        <v>44959</v>
      </c>
      <c r="I1075" s="1">
        <v>44962</v>
      </c>
      <c r="J1075">
        <f t="shared" si="17"/>
        <v>3</v>
      </c>
    </row>
    <row r="1076" spans="1:10" x14ac:dyDescent="0.3">
      <c r="A1076">
        <v>716.04</v>
      </c>
      <c r="B1076">
        <v>43.22</v>
      </c>
      <c r="G1076" t="s">
        <v>19</v>
      </c>
      <c r="H1076" s="1">
        <v>45050</v>
      </c>
      <c r="I1076" s="1">
        <v>45058</v>
      </c>
      <c r="J1076">
        <f t="shared" si="17"/>
        <v>8</v>
      </c>
    </row>
    <row r="1077" spans="1:10" x14ac:dyDescent="0.3">
      <c r="A1077">
        <v>1099.95</v>
      </c>
      <c r="B1077">
        <v>33.6</v>
      </c>
      <c r="G1077" t="s">
        <v>23</v>
      </c>
      <c r="H1077" s="1">
        <v>45070</v>
      </c>
      <c r="I1077" s="1">
        <v>45077</v>
      </c>
      <c r="J1077">
        <f t="shared" si="17"/>
        <v>7</v>
      </c>
    </row>
    <row r="1078" spans="1:10" x14ac:dyDescent="0.3">
      <c r="A1078">
        <v>10163.48</v>
      </c>
      <c r="B1078">
        <v>26.97</v>
      </c>
      <c r="G1078" t="s">
        <v>23</v>
      </c>
      <c r="H1078" s="1">
        <v>44960</v>
      </c>
      <c r="I1078" s="1">
        <v>44970</v>
      </c>
      <c r="J1078">
        <f t="shared" si="17"/>
        <v>10</v>
      </c>
    </row>
    <row r="1079" spans="1:10" x14ac:dyDescent="0.3">
      <c r="A1079">
        <v>494.52</v>
      </c>
      <c r="B1079">
        <v>43.02</v>
      </c>
      <c r="G1079" t="s">
        <v>19</v>
      </c>
      <c r="H1079" s="1">
        <v>45285</v>
      </c>
      <c r="I1079" s="1">
        <v>45293</v>
      </c>
      <c r="J1079">
        <f t="shared" si="17"/>
        <v>8</v>
      </c>
    </row>
    <row r="1080" spans="1:10" x14ac:dyDescent="0.3">
      <c r="A1080">
        <v>1861.2180000000001</v>
      </c>
      <c r="B1080">
        <v>31.13</v>
      </c>
      <c r="G1080" t="s">
        <v>19</v>
      </c>
      <c r="H1080" s="1">
        <v>45133</v>
      </c>
      <c r="I1080" s="1">
        <v>45139</v>
      </c>
      <c r="J1080">
        <f t="shared" si="17"/>
        <v>6</v>
      </c>
    </row>
    <row r="1081" spans="1:10" x14ac:dyDescent="0.3">
      <c r="A1081">
        <v>4989.2280000000001</v>
      </c>
      <c r="B1081">
        <v>29.31</v>
      </c>
      <c r="G1081" t="s">
        <v>22</v>
      </c>
      <c r="H1081" s="1">
        <v>45449</v>
      </c>
      <c r="I1081" s="1">
        <v>45458</v>
      </c>
      <c r="J1081">
        <f t="shared" si="17"/>
        <v>9</v>
      </c>
    </row>
    <row r="1082" spans="1:10" x14ac:dyDescent="0.3">
      <c r="A1082">
        <v>4381.5330000000004</v>
      </c>
      <c r="B1082">
        <v>11.21</v>
      </c>
      <c r="G1082" t="s">
        <v>20</v>
      </c>
      <c r="H1082" s="1">
        <v>45578</v>
      </c>
      <c r="I1082" s="1">
        <v>45583</v>
      </c>
      <c r="J1082">
        <f t="shared" si="17"/>
        <v>5</v>
      </c>
    </row>
    <row r="1083" spans="1:10" x14ac:dyDescent="0.3">
      <c r="A1083">
        <v>1695.92</v>
      </c>
      <c r="B1083">
        <v>21.89</v>
      </c>
      <c r="G1083" t="s">
        <v>21</v>
      </c>
      <c r="H1083" s="1">
        <v>45599</v>
      </c>
      <c r="I1083" s="1">
        <v>45609</v>
      </c>
      <c r="J1083">
        <f t="shared" si="17"/>
        <v>10</v>
      </c>
    </row>
    <row r="1084" spans="1:10" x14ac:dyDescent="0.3">
      <c r="A1084">
        <v>7253.3159999999998</v>
      </c>
      <c r="B1084">
        <v>32.53</v>
      </c>
      <c r="G1084" t="s">
        <v>21</v>
      </c>
      <c r="H1084" s="1">
        <v>45325</v>
      </c>
      <c r="I1084" s="1">
        <v>45333</v>
      </c>
      <c r="J1084">
        <f t="shared" si="17"/>
        <v>8</v>
      </c>
    </row>
    <row r="1085" spans="1:10" x14ac:dyDescent="0.3">
      <c r="A1085">
        <v>900.25200000000007</v>
      </c>
      <c r="B1085">
        <v>16.98</v>
      </c>
      <c r="G1085" t="s">
        <v>19</v>
      </c>
      <c r="H1085" s="1">
        <v>44936</v>
      </c>
      <c r="I1085" s="1">
        <v>44939</v>
      </c>
      <c r="J1085">
        <f t="shared" si="17"/>
        <v>3</v>
      </c>
    </row>
    <row r="1086" spans="1:10" x14ac:dyDescent="0.3">
      <c r="A1086">
        <v>2768.2620000000002</v>
      </c>
      <c r="B1086">
        <v>30.62</v>
      </c>
      <c r="G1086" t="s">
        <v>19</v>
      </c>
      <c r="H1086" s="1">
        <v>45215</v>
      </c>
      <c r="I1086" s="1">
        <v>45221</v>
      </c>
      <c r="J1086">
        <f t="shared" si="17"/>
        <v>6</v>
      </c>
    </row>
    <row r="1087" spans="1:10" x14ac:dyDescent="0.3">
      <c r="A1087">
        <v>1019.592</v>
      </c>
      <c r="B1087">
        <v>14.02</v>
      </c>
      <c r="G1087" t="s">
        <v>22</v>
      </c>
      <c r="H1087" s="1">
        <v>45735</v>
      </c>
      <c r="I1087" s="1">
        <v>45740</v>
      </c>
      <c r="J1087">
        <f t="shared" si="17"/>
        <v>5</v>
      </c>
    </row>
    <row r="1088" spans="1:10" x14ac:dyDescent="0.3">
      <c r="A1088">
        <v>1743.8489999999999</v>
      </c>
      <c r="B1088">
        <v>5.84</v>
      </c>
      <c r="G1088" t="s">
        <v>23</v>
      </c>
      <c r="H1088" s="1">
        <v>45642</v>
      </c>
      <c r="I1088" s="1">
        <v>45645</v>
      </c>
      <c r="J1088">
        <f t="shared" si="17"/>
        <v>3</v>
      </c>
    </row>
    <row r="1089" spans="1:10" x14ac:dyDescent="0.3">
      <c r="A1089">
        <v>8502.4620000000014</v>
      </c>
      <c r="B1089">
        <v>17.39</v>
      </c>
      <c r="G1089" t="s">
        <v>23</v>
      </c>
      <c r="H1089" s="1">
        <v>45154</v>
      </c>
      <c r="I1089" s="1">
        <v>45158</v>
      </c>
      <c r="J1089">
        <f t="shared" si="17"/>
        <v>4</v>
      </c>
    </row>
    <row r="1090" spans="1:10" x14ac:dyDescent="0.3">
      <c r="A1090">
        <v>4294.4654999999993</v>
      </c>
      <c r="B1090">
        <v>31.81</v>
      </c>
      <c r="G1090" t="s">
        <v>19</v>
      </c>
      <c r="H1090" s="1">
        <v>44936</v>
      </c>
      <c r="I1090" s="1">
        <v>44946</v>
      </c>
      <c r="J1090">
        <f t="shared" si="17"/>
        <v>10</v>
      </c>
    </row>
    <row r="1091" spans="1:10" x14ac:dyDescent="0.3">
      <c r="A1091">
        <v>1002.2670000000001</v>
      </c>
      <c r="B1091">
        <v>20.02</v>
      </c>
      <c r="G1091" t="s">
        <v>22</v>
      </c>
      <c r="H1091" s="1">
        <v>45786</v>
      </c>
      <c r="I1091" s="1">
        <v>45795</v>
      </c>
      <c r="J1091">
        <f t="shared" ref="J1091:J1154" si="18">I1091-H1091</f>
        <v>9</v>
      </c>
    </row>
    <row r="1092" spans="1:10" x14ac:dyDescent="0.3">
      <c r="A1092">
        <v>4430.1660000000002</v>
      </c>
      <c r="B1092">
        <v>15.33</v>
      </c>
      <c r="G1092" t="s">
        <v>19</v>
      </c>
      <c r="H1092" s="1">
        <v>45390</v>
      </c>
      <c r="I1092" s="1">
        <v>45398</v>
      </c>
      <c r="J1092">
        <f t="shared" si="18"/>
        <v>8</v>
      </c>
    </row>
    <row r="1093" spans="1:10" x14ac:dyDescent="0.3">
      <c r="A1093">
        <v>6143.76</v>
      </c>
      <c r="B1093">
        <v>10.199999999999999</v>
      </c>
      <c r="G1093" t="s">
        <v>19</v>
      </c>
      <c r="H1093" s="1">
        <v>45783</v>
      </c>
      <c r="I1093" s="1">
        <v>45792</v>
      </c>
      <c r="J1093">
        <f t="shared" si="18"/>
        <v>9</v>
      </c>
    </row>
    <row r="1094" spans="1:10" x14ac:dyDescent="0.3">
      <c r="A1094">
        <v>1681.329</v>
      </c>
      <c r="B1094">
        <v>48.08</v>
      </c>
      <c r="G1094" t="s">
        <v>23</v>
      </c>
      <c r="H1094" s="1">
        <v>45067</v>
      </c>
      <c r="I1094" s="1">
        <v>45075</v>
      </c>
      <c r="J1094">
        <f t="shared" si="18"/>
        <v>8</v>
      </c>
    </row>
    <row r="1095" spans="1:10" x14ac:dyDescent="0.3">
      <c r="A1095">
        <v>1335.18</v>
      </c>
      <c r="B1095">
        <v>34.69</v>
      </c>
      <c r="G1095" t="s">
        <v>22</v>
      </c>
      <c r="H1095" s="1">
        <v>45253</v>
      </c>
      <c r="I1095" s="1">
        <v>45260</v>
      </c>
      <c r="J1095">
        <f t="shared" si="18"/>
        <v>7</v>
      </c>
    </row>
    <row r="1096" spans="1:10" x14ac:dyDescent="0.3">
      <c r="A1096">
        <v>8261.6939999999995</v>
      </c>
      <c r="B1096">
        <v>34.44</v>
      </c>
      <c r="G1096" t="s">
        <v>21</v>
      </c>
      <c r="H1096" s="1">
        <v>45377</v>
      </c>
      <c r="I1096" s="1">
        <v>45387</v>
      </c>
      <c r="J1096">
        <f t="shared" si="18"/>
        <v>10</v>
      </c>
    </row>
    <row r="1097" spans="1:10" x14ac:dyDescent="0.3">
      <c r="A1097">
        <v>1613.1959999999999</v>
      </c>
      <c r="B1097">
        <v>20.21</v>
      </c>
      <c r="G1097" t="s">
        <v>20</v>
      </c>
      <c r="H1097" s="1">
        <v>45560</v>
      </c>
      <c r="I1097" s="1">
        <v>45567</v>
      </c>
      <c r="J1097">
        <f t="shared" si="18"/>
        <v>7</v>
      </c>
    </row>
    <row r="1098" spans="1:10" x14ac:dyDescent="0.3">
      <c r="A1098">
        <v>1747.77</v>
      </c>
      <c r="B1098">
        <v>5.35</v>
      </c>
      <c r="G1098" t="s">
        <v>19</v>
      </c>
      <c r="H1098" s="1">
        <v>45022</v>
      </c>
      <c r="I1098" s="1">
        <v>45026</v>
      </c>
      <c r="J1098">
        <f t="shared" si="18"/>
        <v>4</v>
      </c>
    </row>
    <row r="1099" spans="1:10" x14ac:dyDescent="0.3">
      <c r="A1099">
        <v>7035.4719999999998</v>
      </c>
      <c r="B1099">
        <v>17.43</v>
      </c>
      <c r="G1099" t="s">
        <v>21</v>
      </c>
      <c r="H1099" s="1">
        <v>45467</v>
      </c>
      <c r="I1099" s="1">
        <v>45469</v>
      </c>
      <c r="J1099">
        <f t="shared" si="18"/>
        <v>2</v>
      </c>
    </row>
    <row r="1100" spans="1:10" x14ac:dyDescent="0.3">
      <c r="A1100">
        <v>8608.4599999999991</v>
      </c>
      <c r="B1100">
        <v>33.36</v>
      </c>
      <c r="G1100" t="s">
        <v>20</v>
      </c>
      <c r="H1100" s="1">
        <v>45641</v>
      </c>
      <c r="I1100" s="1">
        <v>45649</v>
      </c>
      <c r="J1100">
        <f t="shared" si="18"/>
        <v>8</v>
      </c>
    </row>
    <row r="1101" spans="1:10" x14ac:dyDescent="0.3">
      <c r="A1101">
        <v>486.59</v>
      </c>
      <c r="B1101">
        <v>30.32</v>
      </c>
      <c r="G1101" t="s">
        <v>21</v>
      </c>
      <c r="H1101" s="1">
        <v>45568</v>
      </c>
      <c r="I1101" s="1">
        <v>45576</v>
      </c>
      <c r="J1101">
        <f t="shared" si="18"/>
        <v>8</v>
      </c>
    </row>
    <row r="1102" spans="1:10" x14ac:dyDescent="0.3">
      <c r="A1102">
        <v>1776.31</v>
      </c>
      <c r="B1102">
        <v>25.05</v>
      </c>
      <c r="G1102" t="s">
        <v>20</v>
      </c>
      <c r="H1102" s="1">
        <v>45172</v>
      </c>
      <c r="I1102" s="1">
        <v>45182</v>
      </c>
      <c r="J1102">
        <f t="shared" si="18"/>
        <v>10</v>
      </c>
    </row>
    <row r="1103" spans="1:10" x14ac:dyDescent="0.3">
      <c r="A1103">
        <v>1194.25</v>
      </c>
      <c r="B1103">
        <v>43.81</v>
      </c>
      <c r="G1103" t="s">
        <v>21</v>
      </c>
      <c r="H1103" s="1">
        <v>44955</v>
      </c>
      <c r="I1103" s="1">
        <v>44962</v>
      </c>
      <c r="J1103">
        <f t="shared" si="18"/>
        <v>7</v>
      </c>
    </row>
    <row r="1104" spans="1:10" x14ac:dyDescent="0.3">
      <c r="A1104">
        <v>462.8</v>
      </c>
      <c r="B1104">
        <v>49.82</v>
      </c>
      <c r="G1104" t="s">
        <v>21</v>
      </c>
      <c r="H1104" s="1">
        <v>45455</v>
      </c>
      <c r="I1104" s="1">
        <v>45463</v>
      </c>
      <c r="J1104">
        <f t="shared" si="18"/>
        <v>8</v>
      </c>
    </row>
    <row r="1105" spans="1:10" x14ac:dyDescent="0.3">
      <c r="A1105">
        <v>4128.2460000000001</v>
      </c>
      <c r="B1105">
        <v>16.079999999999998</v>
      </c>
      <c r="G1105" t="s">
        <v>21</v>
      </c>
      <c r="H1105" s="1">
        <v>45620</v>
      </c>
      <c r="I1105" s="1">
        <v>45629</v>
      </c>
      <c r="J1105">
        <f t="shared" si="18"/>
        <v>9</v>
      </c>
    </row>
    <row r="1106" spans="1:10" x14ac:dyDescent="0.3">
      <c r="A1106">
        <v>8573.76</v>
      </c>
      <c r="B1106">
        <v>47.43</v>
      </c>
      <c r="G1106" t="s">
        <v>23</v>
      </c>
      <c r="H1106" s="1">
        <v>45153</v>
      </c>
      <c r="I1106" s="1">
        <v>45158</v>
      </c>
      <c r="J1106">
        <f t="shared" si="18"/>
        <v>5</v>
      </c>
    </row>
    <row r="1107" spans="1:10" x14ac:dyDescent="0.3">
      <c r="A1107">
        <v>1424.115</v>
      </c>
      <c r="B1107">
        <v>6.85</v>
      </c>
      <c r="G1107" t="s">
        <v>22</v>
      </c>
      <c r="H1107" s="1">
        <v>45525</v>
      </c>
      <c r="I1107" s="1">
        <v>45534</v>
      </c>
      <c r="J1107">
        <f t="shared" si="18"/>
        <v>9</v>
      </c>
    </row>
    <row r="1108" spans="1:10" x14ac:dyDescent="0.3">
      <c r="A1108">
        <v>1165.068</v>
      </c>
      <c r="B1108">
        <v>32.92</v>
      </c>
      <c r="G1108" t="s">
        <v>23</v>
      </c>
      <c r="H1108" s="1">
        <v>45070</v>
      </c>
      <c r="I1108" s="1">
        <v>45078</v>
      </c>
      <c r="J1108">
        <f t="shared" si="18"/>
        <v>8</v>
      </c>
    </row>
    <row r="1109" spans="1:10" x14ac:dyDescent="0.3">
      <c r="A1109">
        <v>568.4799999999999</v>
      </c>
      <c r="B1109">
        <v>49.55</v>
      </c>
      <c r="G1109" t="s">
        <v>23</v>
      </c>
      <c r="H1109" s="1">
        <v>45043</v>
      </c>
      <c r="I1109" s="1">
        <v>45047</v>
      </c>
      <c r="J1109">
        <f t="shared" si="18"/>
        <v>4</v>
      </c>
    </row>
    <row r="1110" spans="1:10" x14ac:dyDescent="0.3">
      <c r="A1110">
        <v>377.08200000000011</v>
      </c>
      <c r="B1110">
        <v>43.72</v>
      </c>
      <c r="G1110" t="s">
        <v>19</v>
      </c>
      <c r="H1110" s="1">
        <v>45067</v>
      </c>
      <c r="I1110" s="1">
        <v>45072</v>
      </c>
      <c r="J1110">
        <f t="shared" si="18"/>
        <v>5</v>
      </c>
    </row>
    <row r="1111" spans="1:10" x14ac:dyDescent="0.3">
      <c r="A1111">
        <v>1300.2</v>
      </c>
      <c r="B1111">
        <v>42.06</v>
      </c>
      <c r="G1111" t="s">
        <v>19</v>
      </c>
      <c r="H1111" s="1">
        <v>45704</v>
      </c>
      <c r="I1111" s="1">
        <v>45713</v>
      </c>
      <c r="J1111">
        <f t="shared" si="18"/>
        <v>9</v>
      </c>
    </row>
    <row r="1112" spans="1:10" x14ac:dyDescent="0.3">
      <c r="A1112">
        <v>1282.0999999999999</v>
      </c>
      <c r="B1112">
        <v>28.74</v>
      </c>
      <c r="G1112" t="s">
        <v>19</v>
      </c>
      <c r="H1112" s="1">
        <v>45162</v>
      </c>
      <c r="I1112" s="1">
        <v>45167</v>
      </c>
      <c r="J1112">
        <f t="shared" si="18"/>
        <v>5</v>
      </c>
    </row>
    <row r="1113" spans="1:10" x14ac:dyDescent="0.3">
      <c r="A1113">
        <v>7846.7039999999997</v>
      </c>
      <c r="B1113">
        <v>39.26</v>
      </c>
      <c r="G1113" t="s">
        <v>19</v>
      </c>
      <c r="H1113" s="1">
        <v>45365</v>
      </c>
      <c r="I1113" s="1">
        <v>45372</v>
      </c>
      <c r="J1113">
        <f t="shared" si="18"/>
        <v>7</v>
      </c>
    </row>
    <row r="1114" spans="1:10" x14ac:dyDescent="0.3">
      <c r="A1114">
        <v>2154.98</v>
      </c>
      <c r="B1114">
        <v>44.96</v>
      </c>
      <c r="G1114" t="s">
        <v>21</v>
      </c>
      <c r="H1114" s="1">
        <v>45320</v>
      </c>
      <c r="I1114" s="1">
        <v>45329</v>
      </c>
      <c r="J1114">
        <f t="shared" si="18"/>
        <v>9</v>
      </c>
    </row>
    <row r="1115" spans="1:10" x14ac:dyDescent="0.3">
      <c r="A1115">
        <v>4704.5700000000006</v>
      </c>
      <c r="B1115">
        <v>20.059999999999999</v>
      </c>
      <c r="G1115" t="s">
        <v>20</v>
      </c>
      <c r="H1115" s="1">
        <v>45513</v>
      </c>
      <c r="I1115" s="1">
        <v>45519</v>
      </c>
      <c r="J1115">
        <f t="shared" si="18"/>
        <v>6</v>
      </c>
    </row>
    <row r="1116" spans="1:10" x14ac:dyDescent="0.3">
      <c r="A1116">
        <v>6854.8589999999986</v>
      </c>
      <c r="B1116">
        <v>13.23</v>
      </c>
      <c r="G1116" t="s">
        <v>21</v>
      </c>
      <c r="H1116" s="1">
        <v>45481</v>
      </c>
      <c r="I1116" s="1">
        <v>45490</v>
      </c>
      <c r="J1116">
        <f t="shared" si="18"/>
        <v>9</v>
      </c>
    </row>
    <row r="1117" spans="1:10" x14ac:dyDescent="0.3">
      <c r="A1117">
        <v>2971.267499999999</v>
      </c>
      <c r="B1117">
        <v>37.81</v>
      </c>
      <c r="G1117" t="s">
        <v>21</v>
      </c>
      <c r="H1117" s="1">
        <v>45524</v>
      </c>
      <c r="I1117" s="1">
        <v>45533</v>
      </c>
      <c r="J1117">
        <f t="shared" si="18"/>
        <v>9</v>
      </c>
    </row>
    <row r="1118" spans="1:10" x14ac:dyDescent="0.3">
      <c r="A1118">
        <v>4956.5879999999997</v>
      </c>
      <c r="B1118">
        <v>23.31</v>
      </c>
      <c r="G1118" t="s">
        <v>22</v>
      </c>
      <c r="H1118" s="1">
        <v>45103</v>
      </c>
      <c r="I1118" s="1">
        <v>45105</v>
      </c>
      <c r="J1118">
        <f t="shared" si="18"/>
        <v>2</v>
      </c>
    </row>
    <row r="1119" spans="1:10" x14ac:dyDescent="0.3">
      <c r="A1119">
        <v>2347.105</v>
      </c>
      <c r="B1119">
        <v>26.5</v>
      </c>
      <c r="G1119" t="s">
        <v>19</v>
      </c>
      <c r="H1119" s="1">
        <v>45283</v>
      </c>
      <c r="I1119" s="1">
        <v>45285</v>
      </c>
      <c r="J1119">
        <f t="shared" si="18"/>
        <v>2</v>
      </c>
    </row>
    <row r="1120" spans="1:10" x14ac:dyDescent="0.3">
      <c r="A1120">
        <v>163.899</v>
      </c>
      <c r="B1120">
        <v>7.31</v>
      </c>
      <c r="G1120" t="s">
        <v>22</v>
      </c>
      <c r="H1120" s="1">
        <v>45158</v>
      </c>
      <c r="I1120" s="1">
        <v>45165</v>
      </c>
      <c r="J1120">
        <f t="shared" si="18"/>
        <v>7</v>
      </c>
    </row>
    <row r="1121" spans="1:10" x14ac:dyDescent="0.3">
      <c r="A1121">
        <v>3101.2939999999999</v>
      </c>
      <c r="B1121">
        <v>11.45</v>
      </c>
      <c r="G1121" t="s">
        <v>23</v>
      </c>
      <c r="H1121" s="1">
        <v>45593</v>
      </c>
      <c r="I1121" s="1">
        <v>45602</v>
      </c>
      <c r="J1121">
        <f t="shared" si="18"/>
        <v>9</v>
      </c>
    </row>
    <row r="1122" spans="1:10" x14ac:dyDescent="0.3">
      <c r="A1122">
        <v>1897.29</v>
      </c>
      <c r="B1122">
        <v>49.91</v>
      </c>
      <c r="G1122" t="s">
        <v>19</v>
      </c>
      <c r="H1122" s="1">
        <v>45607</v>
      </c>
      <c r="I1122" s="1">
        <v>45617</v>
      </c>
      <c r="J1122">
        <f t="shared" si="18"/>
        <v>10</v>
      </c>
    </row>
    <row r="1123" spans="1:10" x14ac:dyDescent="0.3">
      <c r="A1123">
        <v>6651.4795000000004</v>
      </c>
      <c r="B1123">
        <v>40.18</v>
      </c>
      <c r="G1123" t="s">
        <v>23</v>
      </c>
      <c r="H1123" s="1">
        <v>45267</v>
      </c>
      <c r="I1123" s="1">
        <v>45275</v>
      </c>
      <c r="J1123">
        <f t="shared" si="18"/>
        <v>8</v>
      </c>
    </row>
    <row r="1124" spans="1:10" x14ac:dyDescent="0.3">
      <c r="A1124">
        <v>664.35</v>
      </c>
      <c r="B1124">
        <v>37.909999999999997</v>
      </c>
      <c r="G1124" t="s">
        <v>23</v>
      </c>
      <c r="H1124" s="1">
        <v>45374</v>
      </c>
      <c r="I1124" s="1">
        <v>45384</v>
      </c>
      <c r="J1124">
        <f t="shared" si="18"/>
        <v>10</v>
      </c>
    </row>
    <row r="1125" spans="1:10" x14ac:dyDescent="0.3">
      <c r="A1125">
        <v>2392.404</v>
      </c>
      <c r="B1125">
        <v>8.7799999999999994</v>
      </c>
      <c r="G1125" t="s">
        <v>23</v>
      </c>
      <c r="H1125" s="1">
        <v>45594</v>
      </c>
      <c r="I1125" s="1">
        <v>45598</v>
      </c>
      <c r="J1125">
        <f t="shared" si="18"/>
        <v>4</v>
      </c>
    </row>
    <row r="1126" spans="1:10" x14ac:dyDescent="0.3">
      <c r="A1126">
        <v>253.935</v>
      </c>
      <c r="B1126">
        <v>39.32</v>
      </c>
      <c r="G1126" t="s">
        <v>19</v>
      </c>
      <c r="H1126" s="1">
        <v>45825</v>
      </c>
      <c r="I1126" s="1">
        <v>45830</v>
      </c>
      <c r="J1126">
        <f t="shared" si="18"/>
        <v>5</v>
      </c>
    </row>
    <row r="1127" spans="1:10" x14ac:dyDescent="0.3">
      <c r="A1127">
        <v>3686.21</v>
      </c>
      <c r="B1127">
        <v>29.95</v>
      </c>
      <c r="G1127" t="s">
        <v>21</v>
      </c>
      <c r="H1127" s="1">
        <v>45003</v>
      </c>
      <c r="I1127" s="1">
        <v>45011</v>
      </c>
      <c r="J1127">
        <f t="shared" si="18"/>
        <v>8</v>
      </c>
    </row>
    <row r="1128" spans="1:10" x14ac:dyDescent="0.3">
      <c r="A1128">
        <v>2219.44</v>
      </c>
      <c r="B1128">
        <v>36.380000000000003</v>
      </c>
      <c r="G1128" t="s">
        <v>19</v>
      </c>
      <c r="H1128" s="1">
        <v>44945</v>
      </c>
      <c r="I1128" s="1">
        <v>44949</v>
      </c>
      <c r="J1128">
        <f t="shared" si="18"/>
        <v>4</v>
      </c>
    </row>
    <row r="1129" spans="1:10" x14ac:dyDescent="0.3">
      <c r="A1129">
        <v>1640.0039999999999</v>
      </c>
      <c r="B1129">
        <v>17.14</v>
      </c>
      <c r="G1129" t="s">
        <v>23</v>
      </c>
      <c r="H1129" s="1">
        <v>45116</v>
      </c>
      <c r="I1129" s="1">
        <v>45121</v>
      </c>
      <c r="J1129">
        <f t="shared" si="18"/>
        <v>5</v>
      </c>
    </row>
    <row r="1130" spans="1:10" x14ac:dyDescent="0.3">
      <c r="A1130">
        <v>6112.8130000000001</v>
      </c>
      <c r="B1130">
        <v>43.41</v>
      </c>
      <c r="G1130" t="s">
        <v>19</v>
      </c>
      <c r="H1130" s="1">
        <v>45732</v>
      </c>
      <c r="I1130" s="1">
        <v>45742</v>
      </c>
      <c r="J1130">
        <f t="shared" si="18"/>
        <v>10</v>
      </c>
    </row>
    <row r="1131" spans="1:10" x14ac:dyDescent="0.3">
      <c r="A1131">
        <v>3570.57</v>
      </c>
      <c r="B1131">
        <v>18.13</v>
      </c>
      <c r="G1131" t="s">
        <v>21</v>
      </c>
      <c r="H1131" s="1">
        <v>45696</v>
      </c>
      <c r="I1131" s="1">
        <v>45701</v>
      </c>
      <c r="J1131">
        <f t="shared" si="18"/>
        <v>5</v>
      </c>
    </row>
    <row r="1132" spans="1:10" x14ac:dyDescent="0.3">
      <c r="A1132">
        <v>10328.6</v>
      </c>
      <c r="B1132">
        <v>36.229999999999997</v>
      </c>
      <c r="G1132" t="s">
        <v>20</v>
      </c>
      <c r="H1132" s="1">
        <v>45402</v>
      </c>
      <c r="I1132" s="1">
        <v>45404</v>
      </c>
      <c r="J1132">
        <f t="shared" si="18"/>
        <v>2</v>
      </c>
    </row>
    <row r="1133" spans="1:10" x14ac:dyDescent="0.3">
      <c r="A1133">
        <v>269.69400000000002</v>
      </c>
      <c r="B1133">
        <v>38.94</v>
      </c>
      <c r="G1133" t="s">
        <v>19</v>
      </c>
      <c r="H1133" s="1">
        <v>45813</v>
      </c>
      <c r="I1133" s="1">
        <v>45815</v>
      </c>
      <c r="J1133">
        <f t="shared" si="18"/>
        <v>2</v>
      </c>
    </row>
    <row r="1134" spans="1:10" x14ac:dyDescent="0.3">
      <c r="A1134">
        <v>380.64</v>
      </c>
      <c r="B1134">
        <v>30.78</v>
      </c>
      <c r="G1134" t="s">
        <v>20</v>
      </c>
      <c r="H1134" s="1">
        <v>45772</v>
      </c>
      <c r="I1134" s="1">
        <v>45780</v>
      </c>
      <c r="J1134">
        <f t="shared" si="18"/>
        <v>8</v>
      </c>
    </row>
    <row r="1135" spans="1:10" x14ac:dyDescent="0.3">
      <c r="A1135">
        <v>9505.5670000000009</v>
      </c>
      <c r="B1135">
        <v>25.31</v>
      </c>
      <c r="G1135" t="s">
        <v>22</v>
      </c>
      <c r="H1135" s="1">
        <v>45175</v>
      </c>
      <c r="I1135" s="1">
        <v>45182</v>
      </c>
      <c r="J1135">
        <f t="shared" si="18"/>
        <v>7</v>
      </c>
    </row>
    <row r="1136" spans="1:10" x14ac:dyDescent="0.3">
      <c r="A1136">
        <v>2011.1849999999999</v>
      </c>
      <c r="B1136">
        <v>30.97</v>
      </c>
      <c r="G1136" t="s">
        <v>19</v>
      </c>
      <c r="H1136" s="1">
        <v>45198</v>
      </c>
      <c r="I1136" s="1">
        <v>45201</v>
      </c>
      <c r="J1136">
        <f t="shared" si="18"/>
        <v>3</v>
      </c>
    </row>
    <row r="1137" spans="1:10" x14ac:dyDescent="0.3">
      <c r="A1137">
        <v>2504.52</v>
      </c>
      <c r="B1137">
        <v>10.56</v>
      </c>
      <c r="G1137" t="s">
        <v>22</v>
      </c>
      <c r="H1137" s="1">
        <v>45433</v>
      </c>
      <c r="I1137" s="1">
        <v>45435</v>
      </c>
      <c r="J1137">
        <f t="shared" si="18"/>
        <v>2</v>
      </c>
    </row>
    <row r="1138" spans="1:10" x14ac:dyDescent="0.3">
      <c r="A1138">
        <v>317.98</v>
      </c>
      <c r="B1138">
        <v>48.32</v>
      </c>
      <c r="G1138" t="s">
        <v>23</v>
      </c>
      <c r="H1138" s="1">
        <v>45760</v>
      </c>
      <c r="I1138" s="1">
        <v>45766</v>
      </c>
      <c r="J1138">
        <f t="shared" si="18"/>
        <v>6</v>
      </c>
    </row>
    <row r="1139" spans="1:10" x14ac:dyDescent="0.3">
      <c r="A1139">
        <v>1162.8900000000001</v>
      </c>
      <c r="B1139">
        <v>30.08</v>
      </c>
      <c r="G1139" t="s">
        <v>19</v>
      </c>
      <c r="H1139" s="1">
        <v>45612</v>
      </c>
      <c r="I1139" s="1">
        <v>45616</v>
      </c>
      <c r="J1139">
        <f t="shared" si="18"/>
        <v>4</v>
      </c>
    </row>
    <row r="1140" spans="1:10" x14ac:dyDescent="0.3">
      <c r="A1140">
        <v>909.54000000000008</v>
      </c>
      <c r="B1140">
        <v>45.61</v>
      </c>
      <c r="G1140" t="s">
        <v>21</v>
      </c>
      <c r="H1140" s="1">
        <v>45493</v>
      </c>
      <c r="I1140" s="1">
        <v>45501</v>
      </c>
      <c r="J1140">
        <f t="shared" si="18"/>
        <v>8</v>
      </c>
    </row>
    <row r="1141" spans="1:10" x14ac:dyDescent="0.3">
      <c r="A1141">
        <v>1137.538</v>
      </c>
      <c r="B1141">
        <v>11.49</v>
      </c>
      <c r="G1141" t="s">
        <v>21</v>
      </c>
      <c r="H1141" s="1">
        <v>45066</v>
      </c>
      <c r="I1141" s="1">
        <v>45073</v>
      </c>
      <c r="J1141">
        <f t="shared" si="18"/>
        <v>7</v>
      </c>
    </row>
    <row r="1142" spans="1:10" x14ac:dyDescent="0.3">
      <c r="A1142">
        <v>6619.2559999999994</v>
      </c>
      <c r="B1142">
        <v>12.53</v>
      </c>
      <c r="G1142" t="s">
        <v>23</v>
      </c>
      <c r="H1142" s="1">
        <v>45221</v>
      </c>
      <c r="I1142" s="1">
        <v>45225</v>
      </c>
      <c r="J1142">
        <f t="shared" si="18"/>
        <v>4</v>
      </c>
    </row>
    <row r="1143" spans="1:10" x14ac:dyDescent="0.3">
      <c r="A1143">
        <v>320.09300000000002</v>
      </c>
      <c r="B1143">
        <v>32.22</v>
      </c>
      <c r="G1143" t="s">
        <v>21</v>
      </c>
      <c r="H1143" s="1">
        <v>45795</v>
      </c>
      <c r="I1143" s="1">
        <v>45798</v>
      </c>
      <c r="J1143">
        <f t="shared" si="18"/>
        <v>3</v>
      </c>
    </row>
    <row r="1144" spans="1:10" x14ac:dyDescent="0.3">
      <c r="A1144">
        <v>664.83600000000001</v>
      </c>
      <c r="B1144">
        <v>19.41</v>
      </c>
      <c r="G1144" t="s">
        <v>20</v>
      </c>
      <c r="H1144" s="1">
        <v>45354</v>
      </c>
      <c r="I1144" s="1">
        <v>45357</v>
      </c>
      <c r="J1144">
        <f t="shared" si="18"/>
        <v>3</v>
      </c>
    </row>
    <row r="1145" spans="1:10" x14ac:dyDescent="0.3">
      <c r="A1145">
        <v>1934.6579999999999</v>
      </c>
      <c r="B1145">
        <v>7.34</v>
      </c>
      <c r="G1145" t="s">
        <v>19</v>
      </c>
      <c r="H1145" s="1">
        <v>45130</v>
      </c>
      <c r="I1145" s="1">
        <v>45140</v>
      </c>
      <c r="J1145">
        <f t="shared" si="18"/>
        <v>10</v>
      </c>
    </row>
    <row r="1146" spans="1:10" x14ac:dyDescent="0.3">
      <c r="A1146">
        <v>5764.1220000000003</v>
      </c>
      <c r="B1146">
        <v>46.21</v>
      </c>
      <c r="G1146" t="s">
        <v>21</v>
      </c>
      <c r="H1146" s="1">
        <v>45697</v>
      </c>
      <c r="I1146" s="1">
        <v>45702</v>
      </c>
      <c r="J1146">
        <f t="shared" si="18"/>
        <v>5</v>
      </c>
    </row>
    <row r="1147" spans="1:10" x14ac:dyDescent="0.3">
      <c r="A1147">
        <v>1045.1400000000001</v>
      </c>
      <c r="B1147">
        <v>26.25</v>
      </c>
      <c r="G1147" t="s">
        <v>20</v>
      </c>
      <c r="H1147" s="1">
        <v>44943</v>
      </c>
      <c r="I1147" s="1">
        <v>44949</v>
      </c>
      <c r="J1147">
        <f t="shared" si="18"/>
        <v>6</v>
      </c>
    </row>
    <row r="1148" spans="1:10" x14ac:dyDescent="0.3">
      <c r="A1148">
        <v>2494.2629999999999</v>
      </c>
      <c r="B1148">
        <v>39.4</v>
      </c>
      <c r="G1148" t="s">
        <v>21</v>
      </c>
      <c r="H1148" s="1">
        <v>45186</v>
      </c>
      <c r="I1148" s="1">
        <v>45195</v>
      </c>
      <c r="J1148">
        <f t="shared" si="18"/>
        <v>9</v>
      </c>
    </row>
    <row r="1149" spans="1:10" x14ac:dyDescent="0.3">
      <c r="A1149">
        <v>2019.3389999999999</v>
      </c>
      <c r="B1149">
        <v>10.77</v>
      </c>
      <c r="G1149" t="s">
        <v>21</v>
      </c>
      <c r="H1149" s="1">
        <v>45703</v>
      </c>
      <c r="I1149" s="1">
        <v>45711</v>
      </c>
      <c r="J1149">
        <f t="shared" si="18"/>
        <v>8</v>
      </c>
    </row>
    <row r="1150" spans="1:10" x14ac:dyDescent="0.3">
      <c r="A1150">
        <v>2687.122499999999</v>
      </c>
      <c r="B1150">
        <v>38.61</v>
      </c>
      <c r="G1150" t="s">
        <v>23</v>
      </c>
      <c r="H1150" s="1">
        <v>45206</v>
      </c>
      <c r="I1150" s="1">
        <v>45208</v>
      </c>
      <c r="J1150">
        <f t="shared" si="18"/>
        <v>2</v>
      </c>
    </row>
    <row r="1151" spans="1:10" x14ac:dyDescent="0.3">
      <c r="A1151">
        <v>1605.92</v>
      </c>
      <c r="B1151">
        <v>30.7</v>
      </c>
      <c r="G1151" t="s">
        <v>23</v>
      </c>
      <c r="H1151" s="1">
        <v>45146</v>
      </c>
      <c r="I1151" s="1">
        <v>45148</v>
      </c>
      <c r="J1151">
        <f t="shared" si="18"/>
        <v>2</v>
      </c>
    </row>
    <row r="1152" spans="1:10" x14ac:dyDescent="0.3">
      <c r="A1152">
        <v>362.3295</v>
      </c>
      <c r="B1152">
        <v>26.04</v>
      </c>
      <c r="G1152" t="s">
        <v>19</v>
      </c>
      <c r="H1152" s="1">
        <v>45159</v>
      </c>
      <c r="I1152" s="1">
        <v>45165</v>
      </c>
      <c r="J1152">
        <f t="shared" si="18"/>
        <v>6</v>
      </c>
    </row>
    <row r="1153" spans="1:10" x14ac:dyDescent="0.3">
      <c r="A1153">
        <v>7777.62</v>
      </c>
      <c r="B1153">
        <v>29.31</v>
      </c>
      <c r="G1153" t="s">
        <v>21</v>
      </c>
      <c r="H1153" s="1">
        <v>45480</v>
      </c>
      <c r="I1153" s="1">
        <v>45484</v>
      </c>
      <c r="J1153">
        <f t="shared" si="18"/>
        <v>4</v>
      </c>
    </row>
    <row r="1154" spans="1:10" x14ac:dyDescent="0.3">
      <c r="A1154">
        <v>741.82050000000004</v>
      </c>
      <c r="B1154">
        <v>30.87</v>
      </c>
      <c r="G1154" t="s">
        <v>20</v>
      </c>
      <c r="H1154" s="1">
        <v>45674</v>
      </c>
      <c r="I1154" s="1">
        <v>45681</v>
      </c>
      <c r="J1154">
        <f t="shared" si="18"/>
        <v>7</v>
      </c>
    </row>
    <row r="1155" spans="1:10" x14ac:dyDescent="0.3">
      <c r="A1155">
        <v>3150.6779999999999</v>
      </c>
      <c r="B1155">
        <v>16</v>
      </c>
      <c r="G1155" t="s">
        <v>21</v>
      </c>
      <c r="H1155" s="1">
        <v>45266</v>
      </c>
      <c r="I1155" s="1">
        <v>45276</v>
      </c>
      <c r="J1155">
        <f t="shared" ref="J1155:J1218" si="19">I1155-H1155</f>
        <v>10</v>
      </c>
    </row>
    <row r="1156" spans="1:10" x14ac:dyDescent="0.3">
      <c r="A1156">
        <v>291.327</v>
      </c>
      <c r="B1156">
        <v>31.55</v>
      </c>
      <c r="G1156" t="s">
        <v>20</v>
      </c>
      <c r="H1156" s="1">
        <v>44986</v>
      </c>
      <c r="I1156" s="1">
        <v>44989</v>
      </c>
      <c r="J1156">
        <f t="shared" si="19"/>
        <v>3</v>
      </c>
    </row>
    <row r="1157" spans="1:10" x14ac:dyDescent="0.3">
      <c r="A1157">
        <v>2276.0639999999999</v>
      </c>
      <c r="B1157">
        <v>6.28</v>
      </c>
      <c r="G1157" t="s">
        <v>21</v>
      </c>
      <c r="H1157" s="1">
        <v>45699</v>
      </c>
      <c r="I1157" s="1">
        <v>45703</v>
      </c>
      <c r="J1157">
        <f t="shared" si="19"/>
        <v>4</v>
      </c>
    </row>
    <row r="1158" spans="1:10" x14ac:dyDescent="0.3">
      <c r="A1158">
        <v>1896.5895</v>
      </c>
      <c r="B1158">
        <v>27.98</v>
      </c>
      <c r="G1158" t="s">
        <v>22</v>
      </c>
      <c r="H1158" s="1">
        <v>45097</v>
      </c>
      <c r="I1158" s="1">
        <v>45102</v>
      </c>
      <c r="J1158">
        <f t="shared" si="19"/>
        <v>5</v>
      </c>
    </row>
    <row r="1159" spans="1:10" x14ac:dyDescent="0.3">
      <c r="A1159">
        <v>1385.2615000000001</v>
      </c>
      <c r="B1159">
        <v>26.57</v>
      </c>
      <c r="G1159" t="s">
        <v>23</v>
      </c>
      <c r="H1159" s="1">
        <v>45351</v>
      </c>
      <c r="I1159" s="1">
        <v>45354</v>
      </c>
      <c r="J1159">
        <f t="shared" si="19"/>
        <v>3</v>
      </c>
    </row>
    <row r="1160" spans="1:10" x14ac:dyDescent="0.3">
      <c r="A1160">
        <v>289.72800000000001</v>
      </c>
      <c r="B1160">
        <v>44.97</v>
      </c>
      <c r="G1160" t="s">
        <v>21</v>
      </c>
      <c r="H1160" s="1">
        <v>45838</v>
      </c>
      <c r="I1160" s="1">
        <v>45843</v>
      </c>
      <c r="J1160">
        <f t="shared" si="19"/>
        <v>5</v>
      </c>
    </row>
    <row r="1161" spans="1:10" x14ac:dyDescent="0.3">
      <c r="A1161">
        <v>1009.179</v>
      </c>
      <c r="B1161">
        <v>17.62</v>
      </c>
      <c r="G1161" t="s">
        <v>21</v>
      </c>
      <c r="H1161" s="1">
        <v>45523</v>
      </c>
      <c r="I1161" s="1">
        <v>45529</v>
      </c>
      <c r="J1161">
        <f t="shared" si="19"/>
        <v>6</v>
      </c>
    </row>
    <row r="1162" spans="1:10" x14ac:dyDescent="0.3">
      <c r="A1162">
        <v>3612.6</v>
      </c>
      <c r="B1162">
        <v>29.6</v>
      </c>
      <c r="G1162" t="s">
        <v>22</v>
      </c>
      <c r="H1162" s="1">
        <v>45306</v>
      </c>
      <c r="I1162" s="1">
        <v>45310</v>
      </c>
      <c r="J1162">
        <f t="shared" si="19"/>
        <v>4</v>
      </c>
    </row>
    <row r="1163" spans="1:10" x14ac:dyDescent="0.3">
      <c r="A1163">
        <v>1377.663</v>
      </c>
      <c r="B1163">
        <v>20.12</v>
      </c>
      <c r="G1163" t="s">
        <v>22</v>
      </c>
      <c r="H1163" s="1">
        <v>45512</v>
      </c>
      <c r="I1163" s="1">
        <v>45515</v>
      </c>
      <c r="J1163">
        <f t="shared" si="19"/>
        <v>3</v>
      </c>
    </row>
    <row r="1164" spans="1:10" x14ac:dyDescent="0.3">
      <c r="A1164">
        <v>5782.4279999999999</v>
      </c>
      <c r="B1164">
        <v>27.82</v>
      </c>
      <c r="G1164" t="s">
        <v>23</v>
      </c>
      <c r="H1164" s="1">
        <v>45570</v>
      </c>
      <c r="I1164" s="1">
        <v>45572</v>
      </c>
      <c r="J1164">
        <f t="shared" si="19"/>
        <v>2</v>
      </c>
    </row>
    <row r="1165" spans="1:10" x14ac:dyDescent="0.3">
      <c r="A1165">
        <v>1118.7719999999999</v>
      </c>
      <c r="B1165">
        <v>48.11</v>
      </c>
      <c r="G1165" t="s">
        <v>20</v>
      </c>
      <c r="H1165" s="1">
        <v>45304</v>
      </c>
      <c r="I1165" s="1">
        <v>45312</v>
      </c>
      <c r="J1165">
        <f t="shared" si="19"/>
        <v>8</v>
      </c>
    </row>
    <row r="1166" spans="1:10" x14ac:dyDescent="0.3">
      <c r="A1166">
        <v>3015.0720000000001</v>
      </c>
      <c r="B1166">
        <v>36.35</v>
      </c>
      <c r="G1166" t="s">
        <v>23</v>
      </c>
      <c r="H1166" s="1">
        <v>45014</v>
      </c>
      <c r="I1166" s="1">
        <v>45020</v>
      </c>
      <c r="J1166">
        <f t="shared" si="19"/>
        <v>6</v>
      </c>
    </row>
    <row r="1167" spans="1:10" x14ac:dyDescent="0.3">
      <c r="A1167">
        <v>505.98000000000008</v>
      </c>
      <c r="B1167">
        <v>7.46</v>
      </c>
      <c r="G1167" t="s">
        <v>21</v>
      </c>
      <c r="H1167" s="1">
        <v>45218</v>
      </c>
      <c r="I1167" s="1">
        <v>45222</v>
      </c>
      <c r="J1167">
        <f t="shared" si="19"/>
        <v>4</v>
      </c>
    </row>
    <row r="1168" spans="1:10" x14ac:dyDescent="0.3">
      <c r="A1168">
        <v>386</v>
      </c>
      <c r="B1168">
        <v>47.23</v>
      </c>
      <c r="G1168" t="s">
        <v>23</v>
      </c>
      <c r="H1168" s="1">
        <v>45222</v>
      </c>
      <c r="I1168" s="1">
        <v>45231</v>
      </c>
      <c r="J1168">
        <f t="shared" si="19"/>
        <v>9</v>
      </c>
    </row>
    <row r="1169" spans="1:10" x14ac:dyDescent="0.3">
      <c r="A1169">
        <v>1993.0905</v>
      </c>
      <c r="B1169">
        <v>31.43</v>
      </c>
      <c r="G1169" t="s">
        <v>20</v>
      </c>
      <c r="H1169" s="1">
        <v>45009</v>
      </c>
      <c r="I1169" s="1">
        <v>45013</v>
      </c>
      <c r="J1169">
        <f t="shared" si="19"/>
        <v>4</v>
      </c>
    </row>
    <row r="1170" spans="1:10" x14ac:dyDescent="0.3">
      <c r="A1170">
        <v>960.63600000000008</v>
      </c>
      <c r="B1170">
        <v>10.79</v>
      </c>
      <c r="G1170" t="s">
        <v>23</v>
      </c>
      <c r="H1170" s="1">
        <v>45513</v>
      </c>
      <c r="I1170" s="1">
        <v>45518</v>
      </c>
      <c r="J1170">
        <f t="shared" si="19"/>
        <v>5</v>
      </c>
    </row>
    <row r="1171" spans="1:10" x14ac:dyDescent="0.3">
      <c r="A1171">
        <v>7720.838999999999</v>
      </c>
      <c r="B1171">
        <v>48.33</v>
      </c>
      <c r="G1171" t="s">
        <v>20</v>
      </c>
      <c r="H1171" s="1">
        <v>45042</v>
      </c>
      <c r="I1171" s="1">
        <v>45052</v>
      </c>
      <c r="J1171">
        <f t="shared" si="19"/>
        <v>10</v>
      </c>
    </row>
    <row r="1172" spans="1:10" x14ac:dyDescent="0.3">
      <c r="A1172">
        <v>1022.428</v>
      </c>
      <c r="B1172">
        <v>45.97</v>
      </c>
      <c r="G1172" t="s">
        <v>23</v>
      </c>
      <c r="H1172" s="1">
        <v>45355</v>
      </c>
      <c r="I1172" s="1">
        <v>45363</v>
      </c>
      <c r="J1172">
        <f t="shared" si="19"/>
        <v>8</v>
      </c>
    </row>
    <row r="1173" spans="1:10" x14ac:dyDescent="0.3">
      <c r="A1173">
        <v>2785.433</v>
      </c>
      <c r="B1173">
        <v>47.56</v>
      </c>
      <c r="G1173" t="s">
        <v>19</v>
      </c>
      <c r="H1173" s="1">
        <v>44971</v>
      </c>
      <c r="I1173" s="1">
        <v>44974</v>
      </c>
      <c r="J1173">
        <f t="shared" si="19"/>
        <v>3</v>
      </c>
    </row>
    <row r="1174" spans="1:10" x14ac:dyDescent="0.3">
      <c r="A1174">
        <v>9057.1099999999988</v>
      </c>
      <c r="B1174">
        <v>10.199999999999999</v>
      </c>
      <c r="G1174" t="s">
        <v>23</v>
      </c>
      <c r="H1174" s="1">
        <v>45044</v>
      </c>
      <c r="I1174" s="1">
        <v>45049</v>
      </c>
      <c r="J1174">
        <f t="shared" si="19"/>
        <v>5</v>
      </c>
    </row>
    <row r="1175" spans="1:10" x14ac:dyDescent="0.3">
      <c r="A1175">
        <v>273.24099999999999</v>
      </c>
      <c r="B1175">
        <v>20.18</v>
      </c>
      <c r="G1175" t="s">
        <v>21</v>
      </c>
      <c r="H1175" s="1">
        <v>45354</v>
      </c>
      <c r="I1175" s="1">
        <v>45362</v>
      </c>
      <c r="J1175">
        <f t="shared" si="19"/>
        <v>8</v>
      </c>
    </row>
    <row r="1176" spans="1:10" x14ac:dyDescent="0.3">
      <c r="A1176">
        <v>1751.6969999999999</v>
      </c>
      <c r="B1176">
        <v>45.79</v>
      </c>
      <c r="G1176" t="s">
        <v>23</v>
      </c>
      <c r="H1176" s="1">
        <v>45539</v>
      </c>
      <c r="I1176" s="1">
        <v>45543</v>
      </c>
      <c r="J1176">
        <f t="shared" si="19"/>
        <v>4</v>
      </c>
    </row>
    <row r="1177" spans="1:10" x14ac:dyDescent="0.3">
      <c r="A1177">
        <v>6393.5</v>
      </c>
      <c r="B1177">
        <v>27.43</v>
      </c>
      <c r="G1177" t="s">
        <v>19</v>
      </c>
      <c r="H1177" s="1">
        <v>45656</v>
      </c>
      <c r="I1177" s="1">
        <v>45664</v>
      </c>
      <c r="J1177">
        <f t="shared" si="19"/>
        <v>8</v>
      </c>
    </row>
    <row r="1178" spans="1:10" x14ac:dyDescent="0.3">
      <c r="A1178">
        <v>7408.62</v>
      </c>
      <c r="B1178">
        <v>9.6199999999999992</v>
      </c>
      <c r="G1178" t="s">
        <v>19</v>
      </c>
      <c r="H1178" s="1">
        <v>45332</v>
      </c>
      <c r="I1178" s="1">
        <v>45338</v>
      </c>
      <c r="J1178">
        <f t="shared" si="19"/>
        <v>6</v>
      </c>
    </row>
    <row r="1179" spans="1:10" x14ac:dyDescent="0.3">
      <c r="A1179">
        <v>366.76650000000001</v>
      </c>
      <c r="B1179">
        <v>17.53</v>
      </c>
      <c r="G1179" t="s">
        <v>22</v>
      </c>
      <c r="H1179" s="1">
        <v>45176</v>
      </c>
      <c r="I1179" s="1">
        <v>45184</v>
      </c>
      <c r="J1179">
        <f t="shared" si="19"/>
        <v>8</v>
      </c>
    </row>
    <row r="1180" spans="1:10" x14ac:dyDescent="0.3">
      <c r="A1180">
        <v>8917.02</v>
      </c>
      <c r="B1180">
        <v>14.88</v>
      </c>
      <c r="G1180" t="s">
        <v>19</v>
      </c>
      <c r="H1180" s="1">
        <v>45149</v>
      </c>
      <c r="I1180" s="1">
        <v>45153</v>
      </c>
      <c r="J1180">
        <f t="shared" si="19"/>
        <v>4</v>
      </c>
    </row>
    <row r="1181" spans="1:10" x14ac:dyDescent="0.3">
      <c r="A1181">
        <v>537.48</v>
      </c>
      <c r="B1181">
        <v>47.84</v>
      </c>
      <c r="G1181" t="s">
        <v>23</v>
      </c>
      <c r="H1181" s="1">
        <v>44997</v>
      </c>
      <c r="I1181" s="1">
        <v>45001</v>
      </c>
      <c r="J1181">
        <f t="shared" si="19"/>
        <v>4</v>
      </c>
    </row>
    <row r="1182" spans="1:10" x14ac:dyDescent="0.3">
      <c r="A1182">
        <v>2915.5140000000001</v>
      </c>
      <c r="B1182">
        <v>22.15</v>
      </c>
      <c r="G1182" t="s">
        <v>22</v>
      </c>
      <c r="H1182" s="1">
        <v>45014</v>
      </c>
      <c r="I1182" s="1">
        <v>45016</v>
      </c>
      <c r="J1182">
        <f t="shared" si="19"/>
        <v>2</v>
      </c>
    </row>
    <row r="1183" spans="1:10" x14ac:dyDescent="0.3">
      <c r="A1183">
        <v>3982.913</v>
      </c>
      <c r="B1183">
        <v>32.83</v>
      </c>
      <c r="G1183" t="s">
        <v>20</v>
      </c>
      <c r="H1183" s="1">
        <v>45705</v>
      </c>
      <c r="I1183" s="1">
        <v>45715</v>
      </c>
      <c r="J1183">
        <f t="shared" si="19"/>
        <v>10</v>
      </c>
    </row>
    <row r="1184" spans="1:10" x14ac:dyDescent="0.3">
      <c r="A1184">
        <v>2159.4450000000002</v>
      </c>
      <c r="B1184">
        <v>10.19</v>
      </c>
      <c r="G1184" t="s">
        <v>21</v>
      </c>
      <c r="H1184" s="1">
        <v>45298</v>
      </c>
      <c r="I1184" s="1">
        <v>45306</v>
      </c>
      <c r="J1184">
        <f t="shared" si="19"/>
        <v>8</v>
      </c>
    </row>
    <row r="1185" spans="1:10" x14ac:dyDescent="0.3">
      <c r="A1185">
        <v>3466.3679999999999</v>
      </c>
      <c r="B1185">
        <v>36.89</v>
      </c>
      <c r="G1185" t="s">
        <v>19</v>
      </c>
      <c r="H1185" s="1">
        <v>44940</v>
      </c>
      <c r="I1185" s="1">
        <v>44946</v>
      </c>
      <c r="J1185">
        <f t="shared" si="19"/>
        <v>6</v>
      </c>
    </row>
    <row r="1186" spans="1:10" x14ac:dyDescent="0.3">
      <c r="A1186">
        <v>265.82</v>
      </c>
      <c r="B1186">
        <v>7.76</v>
      </c>
      <c r="G1186" t="s">
        <v>23</v>
      </c>
      <c r="H1186" s="1">
        <v>45294</v>
      </c>
      <c r="I1186" s="1">
        <v>45303</v>
      </c>
      <c r="J1186">
        <f t="shared" si="19"/>
        <v>9</v>
      </c>
    </row>
    <row r="1187" spans="1:10" x14ac:dyDescent="0.3">
      <c r="A1187">
        <v>71.38</v>
      </c>
      <c r="B1187">
        <v>39.89</v>
      </c>
      <c r="G1187" t="s">
        <v>20</v>
      </c>
      <c r="H1187" s="1">
        <v>45163</v>
      </c>
      <c r="I1187" s="1">
        <v>45166</v>
      </c>
      <c r="J1187">
        <f t="shared" si="19"/>
        <v>3</v>
      </c>
    </row>
    <row r="1188" spans="1:10" x14ac:dyDescent="0.3">
      <c r="A1188">
        <v>2304.8429999999998</v>
      </c>
      <c r="B1188">
        <v>49.37</v>
      </c>
      <c r="G1188" t="s">
        <v>21</v>
      </c>
      <c r="H1188" s="1">
        <v>45793</v>
      </c>
      <c r="I1188" s="1">
        <v>45802</v>
      </c>
      <c r="J1188">
        <f t="shared" si="19"/>
        <v>9</v>
      </c>
    </row>
    <row r="1189" spans="1:10" x14ac:dyDescent="0.3">
      <c r="A1189">
        <v>1798.6255000000001</v>
      </c>
      <c r="B1189">
        <v>41.56</v>
      </c>
      <c r="G1189" t="s">
        <v>20</v>
      </c>
      <c r="H1189" s="1">
        <v>45290</v>
      </c>
      <c r="I1189" s="1">
        <v>45294</v>
      </c>
      <c r="J1189">
        <f t="shared" si="19"/>
        <v>4</v>
      </c>
    </row>
    <row r="1190" spans="1:10" x14ac:dyDescent="0.3">
      <c r="A1190">
        <v>684.93100000000004</v>
      </c>
      <c r="B1190">
        <v>18.010000000000002</v>
      </c>
      <c r="G1190" t="s">
        <v>20</v>
      </c>
      <c r="H1190" s="1">
        <v>45571</v>
      </c>
      <c r="I1190" s="1">
        <v>45574</v>
      </c>
      <c r="J1190">
        <f t="shared" si="19"/>
        <v>3</v>
      </c>
    </row>
    <row r="1191" spans="1:10" x14ac:dyDescent="0.3">
      <c r="A1191">
        <v>7443.4840000000004</v>
      </c>
      <c r="B1191">
        <v>32.74</v>
      </c>
      <c r="G1191" t="s">
        <v>22</v>
      </c>
      <c r="H1191" s="1">
        <v>44997</v>
      </c>
      <c r="I1191" s="1">
        <v>45007</v>
      </c>
      <c r="J1191">
        <f t="shared" si="19"/>
        <v>10</v>
      </c>
    </row>
    <row r="1192" spans="1:10" x14ac:dyDescent="0.3">
      <c r="A1192">
        <v>256.63</v>
      </c>
      <c r="B1192">
        <v>12.97</v>
      </c>
      <c r="G1192" t="s">
        <v>21</v>
      </c>
      <c r="H1192" s="1">
        <v>45388</v>
      </c>
      <c r="I1192" s="1">
        <v>45390</v>
      </c>
      <c r="J1192">
        <f t="shared" si="19"/>
        <v>2</v>
      </c>
    </row>
    <row r="1193" spans="1:10" x14ac:dyDescent="0.3">
      <c r="A1193">
        <v>1611.162</v>
      </c>
      <c r="B1193">
        <v>20.05</v>
      </c>
      <c r="G1193" t="s">
        <v>21</v>
      </c>
      <c r="H1193" s="1">
        <v>44946</v>
      </c>
      <c r="I1193" s="1">
        <v>44951</v>
      </c>
      <c r="J1193">
        <f t="shared" si="19"/>
        <v>5</v>
      </c>
    </row>
    <row r="1194" spans="1:10" x14ac:dyDescent="0.3">
      <c r="A1194">
        <v>1109.9324999999999</v>
      </c>
      <c r="B1194">
        <v>20.87</v>
      </c>
      <c r="G1194" t="s">
        <v>23</v>
      </c>
      <c r="H1194" s="1">
        <v>45481</v>
      </c>
      <c r="I1194" s="1">
        <v>45485</v>
      </c>
      <c r="J1194">
        <f t="shared" si="19"/>
        <v>4</v>
      </c>
    </row>
    <row r="1195" spans="1:10" x14ac:dyDescent="0.3">
      <c r="A1195">
        <v>136.22999999999999</v>
      </c>
      <c r="B1195">
        <v>26.66</v>
      </c>
      <c r="G1195" t="s">
        <v>21</v>
      </c>
      <c r="H1195" s="1">
        <v>45205</v>
      </c>
      <c r="I1195" s="1">
        <v>45215</v>
      </c>
      <c r="J1195">
        <f t="shared" si="19"/>
        <v>10</v>
      </c>
    </row>
    <row r="1196" spans="1:10" x14ac:dyDescent="0.3">
      <c r="A1196">
        <v>422.41500000000002</v>
      </c>
      <c r="B1196">
        <v>36.67</v>
      </c>
      <c r="G1196" t="s">
        <v>19</v>
      </c>
      <c r="H1196" s="1">
        <v>45180</v>
      </c>
      <c r="I1196" s="1">
        <v>45187</v>
      </c>
      <c r="J1196">
        <f t="shared" si="19"/>
        <v>7</v>
      </c>
    </row>
    <row r="1197" spans="1:10" x14ac:dyDescent="0.3">
      <c r="A1197">
        <v>1908.1224999999999</v>
      </c>
      <c r="B1197">
        <v>12.95</v>
      </c>
      <c r="G1197" t="s">
        <v>21</v>
      </c>
      <c r="H1197" s="1">
        <v>45183</v>
      </c>
      <c r="I1197" s="1">
        <v>45188</v>
      </c>
      <c r="J1197">
        <f t="shared" si="19"/>
        <v>5</v>
      </c>
    </row>
    <row r="1198" spans="1:10" x14ac:dyDescent="0.3">
      <c r="A1198">
        <v>1556.7919999999999</v>
      </c>
      <c r="B1198">
        <v>43.85</v>
      </c>
      <c r="G1198" t="s">
        <v>21</v>
      </c>
      <c r="H1198" s="1">
        <v>45236</v>
      </c>
      <c r="I1198" s="1">
        <v>45241</v>
      </c>
      <c r="J1198">
        <f t="shared" si="19"/>
        <v>5</v>
      </c>
    </row>
    <row r="1199" spans="1:10" x14ac:dyDescent="0.3">
      <c r="A1199">
        <v>277.00650000000002</v>
      </c>
      <c r="B1199">
        <v>6.71</v>
      </c>
      <c r="G1199" t="s">
        <v>21</v>
      </c>
      <c r="H1199" s="1">
        <v>45466</v>
      </c>
      <c r="I1199" s="1">
        <v>45473</v>
      </c>
      <c r="J1199">
        <f t="shared" si="19"/>
        <v>7</v>
      </c>
    </row>
    <row r="1200" spans="1:10" x14ac:dyDescent="0.3">
      <c r="A1200">
        <v>473.22</v>
      </c>
      <c r="B1200">
        <v>14.01</v>
      </c>
      <c r="G1200" t="s">
        <v>23</v>
      </c>
      <c r="H1200" s="1">
        <v>45015</v>
      </c>
      <c r="I1200" s="1">
        <v>45025</v>
      </c>
      <c r="J1200">
        <f t="shared" si="19"/>
        <v>10</v>
      </c>
    </row>
    <row r="1201" spans="1:10" x14ac:dyDescent="0.3">
      <c r="A1201">
        <v>1470.204</v>
      </c>
      <c r="B1201">
        <v>43.67</v>
      </c>
      <c r="G1201" t="s">
        <v>19</v>
      </c>
      <c r="H1201" s="1">
        <v>45570</v>
      </c>
      <c r="I1201" s="1">
        <v>45580</v>
      </c>
      <c r="J1201">
        <f t="shared" si="19"/>
        <v>10</v>
      </c>
    </row>
    <row r="1202" spans="1:10" x14ac:dyDescent="0.3">
      <c r="A1202">
        <v>1062.2449999999999</v>
      </c>
      <c r="B1202">
        <v>40.229999999999997</v>
      </c>
      <c r="G1202" t="s">
        <v>22</v>
      </c>
      <c r="H1202" s="1">
        <v>45004</v>
      </c>
      <c r="I1202" s="1">
        <v>45014</v>
      </c>
      <c r="J1202">
        <f t="shared" si="19"/>
        <v>10</v>
      </c>
    </row>
    <row r="1203" spans="1:10" x14ac:dyDescent="0.3">
      <c r="A1203">
        <v>1954.701</v>
      </c>
      <c r="B1203">
        <v>31.43</v>
      </c>
      <c r="G1203" t="s">
        <v>21</v>
      </c>
      <c r="H1203" s="1">
        <v>45733</v>
      </c>
      <c r="I1203" s="1">
        <v>45737</v>
      </c>
      <c r="J1203">
        <f t="shared" si="19"/>
        <v>4</v>
      </c>
    </row>
    <row r="1204" spans="1:10" x14ac:dyDescent="0.3">
      <c r="A1204">
        <v>4809.47</v>
      </c>
      <c r="B1204">
        <v>8.19</v>
      </c>
      <c r="G1204" t="s">
        <v>22</v>
      </c>
      <c r="H1204" s="1">
        <v>45644</v>
      </c>
      <c r="I1204" s="1">
        <v>45654</v>
      </c>
      <c r="J1204">
        <f t="shared" si="19"/>
        <v>10</v>
      </c>
    </row>
    <row r="1205" spans="1:10" x14ac:dyDescent="0.3">
      <c r="A1205">
        <v>1873.009</v>
      </c>
      <c r="B1205">
        <v>24.28</v>
      </c>
      <c r="G1205" t="s">
        <v>23</v>
      </c>
      <c r="H1205" s="1">
        <v>45663</v>
      </c>
      <c r="I1205" s="1">
        <v>45665</v>
      </c>
      <c r="J1205">
        <f t="shared" si="19"/>
        <v>2</v>
      </c>
    </row>
    <row r="1206" spans="1:10" x14ac:dyDescent="0.3">
      <c r="A1206">
        <v>925.39499999999987</v>
      </c>
      <c r="B1206">
        <v>19.18</v>
      </c>
      <c r="G1206" t="s">
        <v>22</v>
      </c>
      <c r="H1206" s="1">
        <v>45671</v>
      </c>
      <c r="I1206" s="1">
        <v>45677</v>
      </c>
      <c r="J1206">
        <f t="shared" si="19"/>
        <v>6</v>
      </c>
    </row>
    <row r="1207" spans="1:10" x14ac:dyDescent="0.3">
      <c r="A1207">
        <v>2937.48</v>
      </c>
      <c r="B1207">
        <v>36.11</v>
      </c>
      <c r="G1207" t="s">
        <v>20</v>
      </c>
      <c r="H1207" s="1">
        <v>44952</v>
      </c>
      <c r="I1207" s="1">
        <v>44956</v>
      </c>
      <c r="J1207">
        <f t="shared" si="19"/>
        <v>4</v>
      </c>
    </row>
    <row r="1208" spans="1:10" x14ac:dyDescent="0.3">
      <c r="A1208">
        <v>4460.2879999999996</v>
      </c>
      <c r="B1208">
        <v>42.56</v>
      </c>
      <c r="G1208" t="s">
        <v>21</v>
      </c>
      <c r="H1208" s="1">
        <v>45508</v>
      </c>
      <c r="I1208" s="1">
        <v>45518</v>
      </c>
      <c r="J1208">
        <f t="shared" si="19"/>
        <v>10</v>
      </c>
    </row>
    <row r="1209" spans="1:10" x14ac:dyDescent="0.3">
      <c r="A1209">
        <v>1734.6120000000001</v>
      </c>
      <c r="B1209">
        <v>38.53</v>
      </c>
      <c r="G1209" t="s">
        <v>21</v>
      </c>
      <c r="H1209" s="1">
        <v>45335</v>
      </c>
      <c r="I1209" s="1">
        <v>45338</v>
      </c>
      <c r="J1209">
        <f t="shared" si="19"/>
        <v>3</v>
      </c>
    </row>
    <row r="1210" spans="1:10" x14ac:dyDescent="0.3">
      <c r="A1210">
        <v>4106.2139999999999</v>
      </c>
      <c r="B1210">
        <v>48.38</v>
      </c>
      <c r="G1210" t="s">
        <v>22</v>
      </c>
      <c r="H1210" s="1">
        <v>44968</v>
      </c>
      <c r="I1210" s="1">
        <v>44971</v>
      </c>
      <c r="J1210">
        <f t="shared" si="19"/>
        <v>3</v>
      </c>
    </row>
    <row r="1211" spans="1:10" x14ac:dyDescent="0.3">
      <c r="A1211">
        <v>8862.2099999999991</v>
      </c>
      <c r="B1211">
        <v>10.99</v>
      </c>
      <c r="G1211" t="s">
        <v>19</v>
      </c>
      <c r="H1211" s="1">
        <v>45460</v>
      </c>
      <c r="I1211" s="1">
        <v>45465</v>
      </c>
      <c r="J1211">
        <f t="shared" si="19"/>
        <v>5</v>
      </c>
    </row>
    <row r="1212" spans="1:10" x14ac:dyDescent="0.3">
      <c r="A1212">
        <v>301.07850000000002</v>
      </c>
      <c r="B1212">
        <v>26.16</v>
      </c>
      <c r="G1212" t="s">
        <v>20</v>
      </c>
      <c r="H1212" s="1">
        <v>45449</v>
      </c>
      <c r="I1212" s="1">
        <v>45455</v>
      </c>
      <c r="J1212">
        <f t="shared" si="19"/>
        <v>6</v>
      </c>
    </row>
    <row r="1213" spans="1:10" x14ac:dyDescent="0.3">
      <c r="A1213">
        <v>4290.9029999999993</v>
      </c>
      <c r="B1213">
        <v>47.67</v>
      </c>
      <c r="G1213" t="s">
        <v>20</v>
      </c>
      <c r="H1213" s="1">
        <v>45256</v>
      </c>
      <c r="I1213" s="1">
        <v>45262</v>
      </c>
      <c r="J1213">
        <f t="shared" si="19"/>
        <v>6</v>
      </c>
    </row>
    <row r="1214" spans="1:10" x14ac:dyDescent="0.3">
      <c r="A1214">
        <v>8984.9249999999993</v>
      </c>
      <c r="B1214">
        <v>42.15</v>
      </c>
      <c r="G1214" t="s">
        <v>23</v>
      </c>
      <c r="H1214" s="1">
        <v>45389</v>
      </c>
      <c r="I1214" s="1">
        <v>45391</v>
      </c>
      <c r="J1214">
        <f t="shared" si="19"/>
        <v>2</v>
      </c>
    </row>
    <row r="1215" spans="1:10" x14ac:dyDescent="0.3">
      <c r="A1215">
        <v>876.12</v>
      </c>
      <c r="B1215">
        <v>12.9</v>
      </c>
      <c r="G1215" t="s">
        <v>23</v>
      </c>
      <c r="H1215" s="1">
        <v>44960</v>
      </c>
      <c r="I1215" s="1">
        <v>44966</v>
      </c>
      <c r="J1215">
        <f t="shared" si="19"/>
        <v>6</v>
      </c>
    </row>
    <row r="1216" spans="1:10" x14ac:dyDescent="0.3">
      <c r="A1216">
        <v>72.589999999999989</v>
      </c>
      <c r="B1216">
        <v>10.18</v>
      </c>
      <c r="G1216" t="s">
        <v>19</v>
      </c>
      <c r="H1216" s="1">
        <v>45621</v>
      </c>
      <c r="I1216" s="1">
        <v>45626</v>
      </c>
      <c r="J1216">
        <f t="shared" si="19"/>
        <v>5</v>
      </c>
    </row>
    <row r="1217" spans="1:10" x14ac:dyDescent="0.3">
      <c r="A1217">
        <v>160.28</v>
      </c>
      <c r="B1217">
        <v>13.41</v>
      </c>
      <c r="G1217" t="s">
        <v>21</v>
      </c>
      <c r="H1217" s="1">
        <v>45473</v>
      </c>
      <c r="I1217" s="1">
        <v>45476</v>
      </c>
      <c r="J1217">
        <f t="shared" si="19"/>
        <v>3</v>
      </c>
    </row>
    <row r="1218" spans="1:10" x14ac:dyDescent="0.3">
      <c r="A1218">
        <v>626.16949999999997</v>
      </c>
      <c r="B1218">
        <v>20.350000000000001</v>
      </c>
      <c r="G1218" t="s">
        <v>20</v>
      </c>
      <c r="H1218" s="1">
        <v>45140</v>
      </c>
      <c r="I1218" s="1">
        <v>45149</v>
      </c>
      <c r="J1218">
        <f t="shared" si="19"/>
        <v>9</v>
      </c>
    </row>
    <row r="1219" spans="1:10" x14ac:dyDescent="0.3">
      <c r="A1219">
        <v>1088.04</v>
      </c>
      <c r="B1219">
        <v>27.65</v>
      </c>
      <c r="G1219" t="s">
        <v>20</v>
      </c>
      <c r="H1219" s="1">
        <v>45344</v>
      </c>
      <c r="I1219" s="1">
        <v>45349</v>
      </c>
      <c r="J1219">
        <f t="shared" ref="J1219:J1282" si="20">I1219-H1219</f>
        <v>5</v>
      </c>
    </row>
    <row r="1220" spans="1:10" x14ac:dyDescent="0.3">
      <c r="A1220">
        <v>8122.5</v>
      </c>
      <c r="B1220">
        <v>7.62</v>
      </c>
      <c r="G1220" t="s">
        <v>21</v>
      </c>
      <c r="H1220" s="1">
        <v>45625</v>
      </c>
      <c r="I1220" s="1">
        <v>45635</v>
      </c>
      <c r="J1220">
        <f t="shared" si="20"/>
        <v>10</v>
      </c>
    </row>
    <row r="1221" spans="1:10" x14ac:dyDescent="0.3">
      <c r="A1221">
        <v>4496.5934999999999</v>
      </c>
      <c r="B1221">
        <v>24.64</v>
      </c>
      <c r="G1221" t="s">
        <v>21</v>
      </c>
      <c r="H1221" s="1">
        <v>45128</v>
      </c>
      <c r="I1221" s="1">
        <v>45138</v>
      </c>
      <c r="J1221">
        <f t="shared" si="20"/>
        <v>10</v>
      </c>
    </row>
    <row r="1222" spans="1:10" x14ac:dyDescent="0.3">
      <c r="A1222">
        <v>1060.0740000000001</v>
      </c>
      <c r="B1222">
        <v>38.65</v>
      </c>
      <c r="G1222" t="s">
        <v>22</v>
      </c>
      <c r="H1222" s="1">
        <v>45030</v>
      </c>
      <c r="I1222" s="1">
        <v>45033</v>
      </c>
      <c r="J1222">
        <f t="shared" si="20"/>
        <v>3</v>
      </c>
    </row>
    <row r="1223" spans="1:10" x14ac:dyDescent="0.3">
      <c r="A1223">
        <v>3268.4560000000001</v>
      </c>
      <c r="B1223">
        <v>38.450000000000003</v>
      </c>
      <c r="G1223" t="s">
        <v>21</v>
      </c>
      <c r="H1223" s="1">
        <v>44958</v>
      </c>
      <c r="I1223" s="1">
        <v>44962</v>
      </c>
      <c r="J1223">
        <f t="shared" si="20"/>
        <v>4</v>
      </c>
    </row>
    <row r="1224" spans="1:10" x14ac:dyDescent="0.3">
      <c r="A1224">
        <v>5414.4719999999998</v>
      </c>
      <c r="B1224">
        <v>45.78</v>
      </c>
      <c r="G1224" t="s">
        <v>19</v>
      </c>
      <c r="H1224" s="1">
        <v>45473</v>
      </c>
      <c r="I1224" s="1">
        <v>45478</v>
      </c>
      <c r="J1224">
        <f t="shared" si="20"/>
        <v>5</v>
      </c>
    </row>
    <row r="1225" spans="1:10" x14ac:dyDescent="0.3">
      <c r="A1225">
        <v>1655.42</v>
      </c>
      <c r="B1225">
        <v>6.15</v>
      </c>
      <c r="G1225" t="s">
        <v>22</v>
      </c>
      <c r="H1225" s="1">
        <v>45217</v>
      </c>
      <c r="I1225" s="1">
        <v>45220</v>
      </c>
      <c r="J1225">
        <f t="shared" si="20"/>
        <v>3</v>
      </c>
    </row>
    <row r="1226" spans="1:10" x14ac:dyDescent="0.3">
      <c r="A1226">
        <v>2405.2289999999998</v>
      </c>
      <c r="B1226">
        <v>41.31</v>
      </c>
      <c r="G1226" t="s">
        <v>19</v>
      </c>
      <c r="H1226" s="1">
        <v>45477</v>
      </c>
      <c r="I1226" s="1">
        <v>45486</v>
      </c>
      <c r="J1226">
        <f t="shared" si="20"/>
        <v>9</v>
      </c>
    </row>
    <row r="1227" spans="1:10" x14ac:dyDescent="0.3">
      <c r="A1227">
        <v>959.1825</v>
      </c>
      <c r="B1227">
        <v>47.6</v>
      </c>
      <c r="G1227" t="s">
        <v>19</v>
      </c>
      <c r="H1227" s="1">
        <v>45477</v>
      </c>
      <c r="I1227" s="1">
        <v>45485</v>
      </c>
      <c r="J1227">
        <f t="shared" si="20"/>
        <v>8</v>
      </c>
    </row>
    <row r="1228" spans="1:10" x14ac:dyDescent="0.3">
      <c r="A1228">
        <v>2737.9349999999999</v>
      </c>
      <c r="B1228">
        <v>28.72</v>
      </c>
      <c r="G1228" t="s">
        <v>21</v>
      </c>
      <c r="H1228" s="1">
        <v>45134</v>
      </c>
      <c r="I1228" s="1">
        <v>45140</v>
      </c>
      <c r="J1228">
        <f t="shared" si="20"/>
        <v>6</v>
      </c>
    </row>
    <row r="1229" spans="1:10" x14ac:dyDescent="0.3">
      <c r="A1229">
        <v>795.34</v>
      </c>
      <c r="B1229">
        <v>6.89</v>
      </c>
      <c r="G1229" t="s">
        <v>23</v>
      </c>
      <c r="H1229" s="1">
        <v>45717</v>
      </c>
      <c r="I1229" s="1">
        <v>45722</v>
      </c>
      <c r="J1229">
        <f t="shared" si="20"/>
        <v>5</v>
      </c>
    </row>
    <row r="1230" spans="1:10" x14ac:dyDescent="0.3">
      <c r="A1230">
        <v>4696.7040000000006</v>
      </c>
      <c r="B1230">
        <v>44.3</v>
      </c>
      <c r="G1230" t="s">
        <v>22</v>
      </c>
      <c r="H1230" s="1">
        <v>44980</v>
      </c>
      <c r="I1230" s="1">
        <v>44982</v>
      </c>
      <c r="J1230">
        <f t="shared" si="20"/>
        <v>2</v>
      </c>
    </row>
    <row r="1231" spans="1:10" x14ac:dyDescent="0.3">
      <c r="A1231">
        <v>6700.4599999999991</v>
      </c>
      <c r="B1231">
        <v>43.37</v>
      </c>
      <c r="G1231" t="s">
        <v>19</v>
      </c>
      <c r="H1231" s="1">
        <v>44937</v>
      </c>
      <c r="I1231" s="1">
        <v>44946</v>
      </c>
      <c r="J1231">
        <f t="shared" si="20"/>
        <v>9</v>
      </c>
    </row>
    <row r="1232" spans="1:10" x14ac:dyDescent="0.3">
      <c r="A1232">
        <v>908.81000000000006</v>
      </c>
      <c r="B1232">
        <v>13.12</v>
      </c>
      <c r="G1232" t="s">
        <v>23</v>
      </c>
      <c r="H1232" s="1">
        <v>45398</v>
      </c>
      <c r="I1232" s="1">
        <v>45402</v>
      </c>
      <c r="J1232">
        <f t="shared" si="20"/>
        <v>4</v>
      </c>
    </row>
    <row r="1233" spans="1:10" x14ac:dyDescent="0.3">
      <c r="A1233">
        <v>6074.8224999999993</v>
      </c>
      <c r="B1233">
        <v>31.96</v>
      </c>
      <c r="G1233" t="s">
        <v>22</v>
      </c>
      <c r="H1233" s="1">
        <v>45360</v>
      </c>
      <c r="I1233" s="1">
        <v>45363</v>
      </c>
      <c r="J1233">
        <f t="shared" si="20"/>
        <v>3</v>
      </c>
    </row>
    <row r="1234" spans="1:10" x14ac:dyDescent="0.3">
      <c r="A1234">
        <v>3083.68</v>
      </c>
      <c r="B1234">
        <v>8.89</v>
      </c>
      <c r="G1234" t="s">
        <v>20</v>
      </c>
      <c r="H1234" s="1">
        <v>45572</v>
      </c>
      <c r="I1234" s="1">
        <v>45576</v>
      </c>
      <c r="J1234">
        <f t="shared" si="20"/>
        <v>4</v>
      </c>
    </row>
    <row r="1235" spans="1:10" x14ac:dyDescent="0.3">
      <c r="A1235">
        <v>948.26</v>
      </c>
      <c r="B1235">
        <v>14.41</v>
      </c>
      <c r="G1235" t="s">
        <v>23</v>
      </c>
      <c r="H1235" s="1">
        <v>45205</v>
      </c>
      <c r="I1235" s="1">
        <v>45214</v>
      </c>
      <c r="J1235">
        <f t="shared" si="20"/>
        <v>9</v>
      </c>
    </row>
    <row r="1236" spans="1:10" x14ac:dyDescent="0.3">
      <c r="A1236">
        <v>7212.9224999999997</v>
      </c>
      <c r="B1236">
        <v>41.73</v>
      </c>
      <c r="G1236" t="s">
        <v>23</v>
      </c>
      <c r="H1236" s="1">
        <v>45024</v>
      </c>
      <c r="I1236" s="1">
        <v>45029</v>
      </c>
      <c r="J1236">
        <f t="shared" si="20"/>
        <v>5</v>
      </c>
    </row>
    <row r="1237" spans="1:10" x14ac:dyDescent="0.3">
      <c r="A1237">
        <v>57.273000000000003</v>
      </c>
      <c r="B1237">
        <v>6.14</v>
      </c>
      <c r="G1237" t="s">
        <v>20</v>
      </c>
      <c r="H1237" s="1">
        <v>45342</v>
      </c>
      <c r="I1237" s="1">
        <v>45349</v>
      </c>
      <c r="J1237">
        <f t="shared" si="20"/>
        <v>7</v>
      </c>
    </row>
    <row r="1238" spans="1:10" x14ac:dyDescent="0.3">
      <c r="A1238">
        <v>3497.3249999999998</v>
      </c>
      <c r="B1238">
        <v>21.56</v>
      </c>
      <c r="G1238" t="s">
        <v>23</v>
      </c>
      <c r="H1238" s="1">
        <v>44956</v>
      </c>
      <c r="I1238" s="1">
        <v>44965</v>
      </c>
      <c r="J1238">
        <f t="shared" si="20"/>
        <v>9</v>
      </c>
    </row>
    <row r="1239" spans="1:10" x14ac:dyDescent="0.3">
      <c r="A1239">
        <v>668.96</v>
      </c>
      <c r="B1239">
        <v>31.53</v>
      </c>
      <c r="G1239" t="s">
        <v>20</v>
      </c>
      <c r="H1239" s="1">
        <v>45058</v>
      </c>
      <c r="I1239" s="1">
        <v>45066</v>
      </c>
      <c r="J1239">
        <f t="shared" si="20"/>
        <v>8</v>
      </c>
    </row>
    <row r="1240" spans="1:10" x14ac:dyDescent="0.3">
      <c r="A1240">
        <v>3347.47</v>
      </c>
      <c r="B1240">
        <v>19.95</v>
      </c>
      <c r="G1240" t="s">
        <v>20</v>
      </c>
      <c r="H1240" s="1">
        <v>45299</v>
      </c>
      <c r="I1240" s="1">
        <v>45303</v>
      </c>
      <c r="J1240">
        <f t="shared" si="20"/>
        <v>4</v>
      </c>
    </row>
    <row r="1241" spans="1:10" x14ac:dyDescent="0.3">
      <c r="A1241">
        <v>95.36099999999999</v>
      </c>
      <c r="B1241">
        <v>19.45</v>
      </c>
      <c r="G1241" t="s">
        <v>21</v>
      </c>
      <c r="H1241" s="1">
        <v>45448</v>
      </c>
      <c r="I1241" s="1">
        <v>45451</v>
      </c>
      <c r="J1241">
        <f t="shared" si="20"/>
        <v>3</v>
      </c>
    </row>
    <row r="1242" spans="1:10" x14ac:dyDescent="0.3">
      <c r="A1242">
        <v>343.72800000000001</v>
      </c>
      <c r="B1242">
        <v>9.31</v>
      </c>
      <c r="G1242" t="s">
        <v>19</v>
      </c>
      <c r="H1242" s="1">
        <v>45798</v>
      </c>
      <c r="I1242" s="1">
        <v>45800</v>
      </c>
      <c r="J1242">
        <f t="shared" si="20"/>
        <v>2</v>
      </c>
    </row>
    <row r="1243" spans="1:10" x14ac:dyDescent="0.3">
      <c r="A1243">
        <v>105.42</v>
      </c>
      <c r="B1243">
        <v>46.57</v>
      </c>
      <c r="G1243" t="s">
        <v>19</v>
      </c>
      <c r="H1243" s="1">
        <v>45798</v>
      </c>
      <c r="I1243" s="1">
        <v>45803</v>
      </c>
      <c r="J1243">
        <f t="shared" si="20"/>
        <v>5</v>
      </c>
    </row>
    <row r="1244" spans="1:10" x14ac:dyDescent="0.3">
      <c r="A1244">
        <v>5101.3764999999994</v>
      </c>
      <c r="B1244">
        <v>37.47</v>
      </c>
      <c r="G1244" t="s">
        <v>19</v>
      </c>
      <c r="H1244" s="1">
        <v>44990</v>
      </c>
      <c r="I1244" s="1">
        <v>44996</v>
      </c>
      <c r="J1244">
        <f t="shared" si="20"/>
        <v>6</v>
      </c>
    </row>
    <row r="1245" spans="1:10" x14ac:dyDescent="0.3">
      <c r="A1245">
        <v>2549.704999999999</v>
      </c>
      <c r="B1245">
        <v>25.86</v>
      </c>
      <c r="G1245" t="s">
        <v>20</v>
      </c>
      <c r="H1245" s="1">
        <v>45592</v>
      </c>
      <c r="I1245" s="1">
        <v>45598</v>
      </c>
      <c r="J1245">
        <f t="shared" si="20"/>
        <v>6</v>
      </c>
    </row>
    <row r="1246" spans="1:10" x14ac:dyDescent="0.3">
      <c r="A1246">
        <v>288.81000000000012</v>
      </c>
      <c r="B1246">
        <v>21.17</v>
      </c>
      <c r="G1246" t="s">
        <v>21</v>
      </c>
      <c r="H1246" s="1">
        <v>45740</v>
      </c>
      <c r="I1246" s="1">
        <v>45745</v>
      </c>
      <c r="J1246">
        <f t="shared" si="20"/>
        <v>5</v>
      </c>
    </row>
    <row r="1247" spans="1:10" x14ac:dyDescent="0.3">
      <c r="A1247">
        <v>6648.3374999999996</v>
      </c>
      <c r="B1247">
        <v>36.68</v>
      </c>
      <c r="G1247" t="s">
        <v>23</v>
      </c>
      <c r="H1247" s="1">
        <v>45556</v>
      </c>
      <c r="I1247" s="1">
        <v>45562</v>
      </c>
      <c r="J1247">
        <f t="shared" si="20"/>
        <v>6</v>
      </c>
    </row>
    <row r="1248" spans="1:10" x14ac:dyDescent="0.3">
      <c r="A1248">
        <v>3840.5839999999998</v>
      </c>
      <c r="B1248">
        <v>22.88</v>
      </c>
      <c r="G1248" t="s">
        <v>21</v>
      </c>
      <c r="H1248" s="1">
        <v>45795</v>
      </c>
      <c r="I1248" s="1">
        <v>45804</v>
      </c>
      <c r="J1248">
        <f t="shared" si="20"/>
        <v>9</v>
      </c>
    </row>
    <row r="1249" spans="1:10" x14ac:dyDescent="0.3">
      <c r="A1249">
        <v>544.05000000000007</v>
      </c>
      <c r="B1249">
        <v>12.98</v>
      </c>
      <c r="G1249" t="s">
        <v>19</v>
      </c>
      <c r="H1249" s="1">
        <v>45484</v>
      </c>
      <c r="I1249" s="1">
        <v>45487</v>
      </c>
      <c r="J1249">
        <f t="shared" si="20"/>
        <v>3</v>
      </c>
    </row>
    <row r="1250" spans="1:10" x14ac:dyDescent="0.3">
      <c r="A1250">
        <v>2680.672</v>
      </c>
      <c r="B1250">
        <v>30.8</v>
      </c>
      <c r="G1250" t="s">
        <v>21</v>
      </c>
      <c r="H1250" s="1">
        <v>45684</v>
      </c>
      <c r="I1250" s="1">
        <v>45692</v>
      </c>
      <c r="J1250">
        <f t="shared" si="20"/>
        <v>8</v>
      </c>
    </row>
    <row r="1251" spans="1:10" x14ac:dyDescent="0.3">
      <c r="A1251">
        <v>4736.34</v>
      </c>
      <c r="B1251">
        <v>15.47</v>
      </c>
      <c r="G1251" t="s">
        <v>19</v>
      </c>
      <c r="H1251" s="1">
        <v>45256</v>
      </c>
      <c r="I1251" s="1">
        <v>45266</v>
      </c>
      <c r="J1251">
        <f t="shared" si="20"/>
        <v>10</v>
      </c>
    </row>
    <row r="1252" spans="1:10" x14ac:dyDescent="0.3">
      <c r="A1252">
        <v>7947.1259999999993</v>
      </c>
      <c r="B1252">
        <v>32.96</v>
      </c>
      <c r="G1252" t="s">
        <v>22</v>
      </c>
      <c r="H1252" s="1">
        <v>45445</v>
      </c>
      <c r="I1252" s="1">
        <v>45447</v>
      </c>
      <c r="J1252">
        <f t="shared" si="20"/>
        <v>2</v>
      </c>
    </row>
    <row r="1253" spans="1:10" x14ac:dyDescent="0.3">
      <c r="A1253">
        <v>1854.6659999999999</v>
      </c>
      <c r="B1253">
        <v>10.72</v>
      </c>
      <c r="G1253" t="s">
        <v>21</v>
      </c>
      <c r="H1253" s="1">
        <v>44943</v>
      </c>
      <c r="I1253" s="1">
        <v>44950</v>
      </c>
      <c r="J1253">
        <f t="shared" si="20"/>
        <v>7</v>
      </c>
    </row>
    <row r="1254" spans="1:10" x14ac:dyDescent="0.3">
      <c r="A1254">
        <v>5195.3980000000001</v>
      </c>
      <c r="B1254">
        <v>24.51</v>
      </c>
      <c r="G1254" t="s">
        <v>21</v>
      </c>
      <c r="H1254" s="1">
        <v>45780</v>
      </c>
      <c r="I1254" s="1">
        <v>45788</v>
      </c>
      <c r="J1254">
        <f t="shared" si="20"/>
        <v>8</v>
      </c>
    </row>
    <row r="1255" spans="1:10" x14ac:dyDescent="0.3">
      <c r="A1255">
        <v>85.399500000000003</v>
      </c>
      <c r="B1255">
        <v>44.85</v>
      </c>
      <c r="G1255" t="s">
        <v>21</v>
      </c>
      <c r="H1255" s="1">
        <v>45662</v>
      </c>
      <c r="I1255" s="1">
        <v>45670</v>
      </c>
      <c r="J1255">
        <f t="shared" si="20"/>
        <v>8</v>
      </c>
    </row>
    <row r="1256" spans="1:10" x14ac:dyDescent="0.3">
      <c r="A1256">
        <v>1811.08</v>
      </c>
      <c r="B1256">
        <v>32.01</v>
      </c>
      <c r="G1256" t="s">
        <v>19</v>
      </c>
      <c r="H1256" s="1">
        <v>45342</v>
      </c>
      <c r="I1256" s="1">
        <v>45352</v>
      </c>
      <c r="J1256">
        <f t="shared" si="20"/>
        <v>10</v>
      </c>
    </row>
    <row r="1257" spans="1:10" x14ac:dyDescent="0.3">
      <c r="A1257">
        <v>934.15</v>
      </c>
      <c r="B1257">
        <v>39.72</v>
      </c>
      <c r="G1257" t="s">
        <v>21</v>
      </c>
      <c r="H1257" s="1">
        <v>45286</v>
      </c>
      <c r="I1257" s="1">
        <v>45295</v>
      </c>
      <c r="J1257">
        <f t="shared" si="20"/>
        <v>9</v>
      </c>
    </row>
    <row r="1258" spans="1:10" x14ac:dyDescent="0.3">
      <c r="A1258">
        <v>5453.5140000000001</v>
      </c>
      <c r="B1258">
        <v>21.82</v>
      </c>
      <c r="G1258" t="s">
        <v>21</v>
      </c>
      <c r="H1258" s="1">
        <v>44992</v>
      </c>
      <c r="I1258" s="1">
        <v>44997</v>
      </c>
      <c r="J1258">
        <f t="shared" si="20"/>
        <v>5</v>
      </c>
    </row>
    <row r="1259" spans="1:10" x14ac:dyDescent="0.3">
      <c r="A1259">
        <v>733.76249999999993</v>
      </c>
      <c r="B1259">
        <v>28.3</v>
      </c>
      <c r="G1259" t="s">
        <v>21</v>
      </c>
      <c r="H1259" s="1">
        <v>45548</v>
      </c>
      <c r="I1259" s="1">
        <v>45557</v>
      </c>
      <c r="J1259">
        <f t="shared" si="20"/>
        <v>9</v>
      </c>
    </row>
    <row r="1260" spans="1:10" x14ac:dyDescent="0.3">
      <c r="A1260">
        <v>2324.8000000000002</v>
      </c>
      <c r="B1260">
        <v>29.64</v>
      </c>
      <c r="G1260" t="s">
        <v>19</v>
      </c>
      <c r="H1260" s="1">
        <v>45293</v>
      </c>
      <c r="I1260" s="1">
        <v>45303</v>
      </c>
      <c r="J1260">
        <f t="shared" si="20"/>
        <v>10</v>
      </c>
    </row>
    <row r="1261" spans="1:10" x14ac:dyDescent="0.3">
      <c r="A1261">
        <v>606.41999999999996</v>
      </c>
      <c r="B1261">
        <v>20.58</v>
      </c>
      <c r="G1261" t="s">
        <v>20</v>
      </c>
      <c r="H1261" s="1">
        <v>45696</v>
      </c>
      <c r="I1261" s="1">
        <v>45706</v>
      </c>
      <c r="J1261">
        <f t="shared" si="20"/>
        <v>10</v>
      </c>
    </row>
    <row r="1262" spans="1:10" x14ac:dyDescent="0.3">
      <c r="A1262">
        <v>2116.9499999999998</v>
      </c>
      <c r="B1262">
        <v>19.63</v>
      </c>
      <c r="G1262" t="s">
        <v>20</v>
      </c>
      <c r="H1262" s="1">
        <v>45720</v>
      </c>
      <c r="I1262" s="1">
        <v>45728</v>
      </c>
      <c r="J1262">
        <f t="shared" si="20"/>
        <v>8</v>
      </c>
    </row>
    <row r="1263" spans="1:10" x14ac:dyDescent="0.3">
      <c r="A1263">
        <v>507.87950000000001</v>
      </c>
      <c r="B1263">
        <v>22.68</v>
      </c>
      <c r="G1263" t="s">
        <v>22</v>
      </c>
      <c r="H1263" s="1">
        <v>45363</v>
      </c>
      <c r="I1263" s="1">
        <v>45372</v>
      </c>
      <c r="J1263">
        <f t="shared" si="20"/>
        <v>9</v>
      </c>
    </row>
    <row r="1264" spans="1:10" x14ac:dyDescent="0.3">
      <c r="A1264">
        <v>4788.3419999999996</v>
      </c>
      <c r="B1264">
        <v>22.81</v>
      </c>
      <c r="G1264" t="s">
        <v>19</v>
      </c>
      <c r="H1264" s="1">
        <v>45476</v>
      </c>
      <c r="I1264" s="1">
        <v>45480</v>
      </c>
      <c r="J1264">
        <f t="shared" si="20"/>
        <v>4</v>
      </c>
    </row>
    <row r="1265" spans="1:10" x14ac:dyDescent="0.3">
      <c r="A1265">
        <v>1982.3040000000001</v>
      </c>
      <c r="B1265">
        <v>18.260000000000002</v>
      </c>
      <c r="G1265" t="s">
        <v>21</v>
      </c>
      <c r="H1265" s="1">
        <v>45662</v>
      </c>
      <c r="I1265" s="1">
        <v>45670</v>
      </c>
      <c r="J1265">
        <f t="shared" si="20"/>
        <v>8</v>
      </c>
    </row>
    <row r="1266" spans="1:10" x14ac:dyDescent="0.3">
      <c r="A1266">
        <v>301.33049999999997</v>
      </c>
      <c r="B1266">
        <v>12.12</v>
      </c>
      <c r="G1266" t="s">
        <v>19</v>
      </c>
      <c r="H1266" s="1">
        <v>45372</v>
      </c>
      <c r="I1266" s="1">
        <v>45379</v>
      </c>
      <c r="J1266">
        <f t="shared" si="20"/>
        <v>7</v>
      </c>
    </row>
    <row r="1267" spans="1:10" x14ac:dyDescent="0.3">
      <c r="A1267">
        <v>7678.9349999999986</v>
      </c>
      <c r="B1267">
        <v>8.5399999999999991</v>
      </c>
      <c r="G1267" t="s">
        <v>22</v>
      </c>
      <c r="H1267" s="1">
        <v>45744</v>
      </c>
      <c r="I1267" s="1">
        <v>45750</v>
      </c>
      <c r="J1267">
        <f t="shared" si="20"/>
        <v>6</v>
      </c>
    </row>
    <row r="1268" spans="1:10" x14ac:dyDescent="0.3">
      <c r="A1268">
        <v>3427.02</v>
      </c>
      <c r="B1268">
        <v>49.93</v>
      </c>
      <c r="G1268" t="s">
        <v>22</v>
      </c>
      <c r="H1268" s="1">
        <v>45760</v>
      </c>
      <c r="I1268" s="1">
        <v>45765</v>
      </c>
      <c r="J1268">
        <f t="shared" si="20"/>
        <v>5</v>
      </c>
    </row>
    <row r="1269" spans="1:10" x14ac:dyDescent="0.3">
      <c r="A1269">
        <v>7822.6894999999986</v>
      </c>
      <c r="B1269">
        <v>7.59</v>
      </c>
      <c r="G1269" t="s">
        <v>23</v>
      </c>
      <c r="H1269" s="1">
        <v>45412</v>
      </c>
      <c r="I1269" s="1">
        <v>45421</v>
      </c>
      <c r="J1269">
        <f t="shared" si="20"/>
        <v>9</v>
      </c>
    </row>
    <row r="1270" spans="1:10" x14ac:dyDescent="0.3">
      <c r="A1270">
        <v>78.811999999999998</v>
      </c>
      <c r="B1270">
        <v>48.46</v>
      </c>
      <c r="G1270" t="s">
        <v>20</v>
      </c>
      <c r="H1270" s="1">
        <v>45703</v>
      </c>
      <c r="I1270" s="1">
        <v>45707</v>
      </c>
      <c r="J1270">
        <f t="shared" si="20"/>
        <v>4</v>
      </c>
    </row>
    <row r="1271" spans="1:10" x14ac:dyDescent="0.3">
      <c r="A1271">
        <v>236.952</v>
      </c>
      <c r="B1271">
        <v>36.28</v>
      </c>
      <c r="G1271" t="s">
        <v>23</v>
      </c>
      <c r="H1271" s="1">
        <v>45706</v>
      </c>
      <c r="I1271" s="1">
        <v>45711</v>
      </c>
      <c r="J1271">
        <f t="shared" si="20"/>
        <v>5</v>
      </c>
    </row>
    <row r="1272" spans="1:10" x14ac:dyDescent="0.3">
      <c r="A1272">
        <v>3944.49</v>
      </c>
      <c r="B1272">
        <v>29.19</v>
      </c>
      <c r="G1272" t="s">
        <v>23</v>
      </c>
      <c r="H1272" s="1">
        <v>45177</v>
      </c>
      <c r="I1272" s="1">
        <v>45179</v>
      </c>
      <c r="J1272">
        <f t="shared" si="20"/>
        <v>2</v>
      </c>
    </row>
    <row r="1273" spans="1:10" x14ac:dyDescent="0.3">
      <c r="A1273">
        <v>10719.54</v>
      </c>
      <c r="B1273">
        <v>42.91</v>
      </c>
      <c r="G1273" t="s">
        <v>22</v>
      </c>
      <c r="H1273" s="1">
        <v>45326</v>
      </c>
      <c r="I1273" s="1">
        <v>45328</v>
      </c>
      <c r="J1273">
        <f t="shared" si="20"/>
        <v>2</v>
      </c>
    </row>
    <row r="1274" spans="1:10" x14ac:dyDescent="0.3">
      <c r="A1274">
        <v>6834.4080000000004</v>
      </c>
      <c r="B1274">
        <v>12.07</v>
      </c>
      <c r="G1274" t="s">
        <v>21</v>
      </c>
      <c r="H1274" s="1">
        <v>45621</v>
      </c>
      <c r="I1274" s="1">
        <v>45631</v>
      </c>
      <c r="J1274">
        <f t="shared" si="20"/>
        <v>10</v>
      </c>
    </row>
    <row r="1275" spans="1:10" x14ac:dyDescent="0.3">
      <c r="A1275">
        <v>7994.34</v>
      </c>
      <c r="B1275">
        <v>5.41</v>
      </c>
      <c r="G1275" t="s">
        <v>21</v>
      </c>
      <c r="H1275" s="1">
        <v>45656</v>
      </c>
      <c r="I1275" s="1">
        <v>45659</v>
      </c>
      <c r="J1275">
        <f t="shared" si="20"/>
        <v>3</v>
      </c>
    </row>
    <row r="1276" spans="1:10" x14ac:dyDescent="0.3">
      <c r="A1276">
        <v>7378.1370000000006</v>
      </c>
      <c r="B1276">
        <v>49.23</v>
      </c>
      <c r="G1276" t="s">
        <v>23</v>
      </c>
      <c r="H1276" s="1">
        <v>45174</v>
      </c>
      <c r="I1276" s="1">
        <v>45179</v>
      </c>
      <c r="J1276">
        <f t="shared" si="20"/>
        <v>5</v>
      </c>
    </row>
    <row r="1277" spans="1:10" x14ac:dyDescent="0.3">
      <c r="A1277">
        <v>1282.31</v>
      </c>
      <c r="B1277">
        <v>32.04</v>
      </c>
      <c r="G1277" t="s">
        <v>23</v>
      </c>
      <c r="H1277" s="1">
        <v>45139</v>
      </c>
      <c r="I1277" s="1">
        <v>45149</v>
      </c>
      <c r="J1277">
        <f t="shared" si="20"/>
        <v>10</v>
      </c>
    </row>
    <row r="1278" spans="1:10" x14ac:dyDescent="0.3">
      <c r="A1278">
        <v>240.0145</v>
      </c>
      <c r="B1278">
        <v>30.12</v>
      </c>
      <c r="G1278" t="s">
        <v>22</v>
      </c>
      <c r="H1278" s="1">
        <v>44932</v>
      </c>
      <c r="I1278" s="1">
        <v>44934</v>
      </c>
      <c r="J1278">
        <f t="shared" si="20"/>
        <v>2</v>
      </c>
    </row>
    <row r="1279" spans="1:10" x14ac:dyDescent="0.3">
      <c r="A1279">
        <v>1474.76</v>
      </c>
      <c r="B1279">
        <v>48.57</v>
      </c>
      <c r="G1279" t="s">
        <v>22</v>
      </c>
      <c r="H1279" s="1">
        <v>45779</v>
      </c>
      <c r="I1279" s="1">
        <v>45783</v>
      </c>
      <c r="J1279">
        <f t="shared" si="20"/>
        <v>4</v>
      </c>
    </row>
    <row r="1280" spans="1:10" x14ac:dyDescent="0.3">
      <c r="A1280">
        <v>1709.1165000000001</v>
      </c>
      <c r="B1280">
        <v>35.520000000000003</v>
      </c>
      <c r="G1280" t="s">
        <v>23</v>
      </c>
      <c r="H1280" s="1">
        <v>45281</v>
      </c>
      <c r="I1280" s="1">
        <v>45288</v>
      </c>
      <c r="J1280">
        <f t="shared" si="20"/>
        <v>7</v>
      </c>
    </row>
    <row r="1281" spans="1:10" x14ac:dyDescent="0.3">
      <c r="A1281">
        <v>1197.56</v>
      </c>
      <c r="B1281">
        <v>16.079999999999998</v>
      </c>
      <c r="G1281" t="s">
        <v>19</v>
      </c>
      <c r="H1281" s="1">
        <v>45545</v>
      </c>
      <c r="I1281" s="1">
        <v>45549</v>
      </c>
      <c r="J1281">
        <f t="shared" si="20"/>
        <v>4</v>
      </c>
    </row>
    <row r="1282" spans="1:10" x14ac:dyDescent="0.3">
      <c r="A1282">
        <v>2047.14</v>
      </c>
      <c r="B1282">
        <v>8.48</v>
      </c>
      <c r="G1282" t="s">
        <v>22</v>
      </c>
      <c r="H1282" s="1">
        <v>45387</v>
      </c>
      <c r="I1282" s="1">
        <v>45392</v>
      </c>
      <c r="J1282">
        <f t="shared" si="20"/>
        <v>5</v>
      </c>
    </row>
    <row r="1283" spans="1:10" x14ac:dyDescent="0.3">
      <c r="A1283">
        <v>3338.5875000000001</v>
      </c>
      <c r="B1283">
        <v>40.68</v>
      </c>
      <c r="G1283" t="s">
        <v>19</v>
      </c>
      <c r="H1283" s="1">
        <v>45133</v>
      </c>
      <c r="I1283" s="1">
        <v>45138</v>
      </c>
      <c r="J1283">
        <f t="shared" ref="J1283:J1346" si="21">I1283-H1283</f>
        <v>5</v>
      </c>
    </row>
    <row r="1284" spans="1:10" x14ac:dyDescent="0.3">
      <c r="A1284">
        <v>2085.5065</v>
      </c>
      <c r="B1284">
        <v>48.94</v>
      </c>
      <c r="G1284" t="s">
        <v>19</v>
      </c>
      <c r="H1284" s="1">
        <v>45242</v>
      </c>
      <c r="I1284" s="1">
        <v>45244</v>
      </c>
      <c r="J1284">
        <f t="shared" si="21"/>
        <v>2</v>
      </c>
    </row>
    <row r="1285" spans="1:10" x14ac:dyDescent="0.3">
      <c r="A1285">
        <v>2398.559999999999</v>
      </c>
      <c r="B1285">
        <v>22.12</v>
      </c>
      <c r="G1285" t="s">
        <v>22</v>
      </c>
      <c r="H1285" s="1">
        <v>45765</v>
      </c>
      <c r="I1285" s="1">
        <v>45767</v>
      </c>
      <c r="J1285">
        <f t="shared" si="21"/>
        <v>2</v>
      </c>
    </row>
    <row r="1286" spans="1:10" x14ac:dyDescent="0.3">
      <c r="A1286">
        <v>215.38399999999999</v>
      </c>
      <c r="B1286">
        <v>23.19</v>
      </c>
      <c r="G1286" t="s">
        <v>20</v>
      </c>
      <c r="H1286" s="1">
        <v>45150</v>
      </c>
      <c r="I1286" s="1">
        <v>45157</v>
      </c>
      <c r="J1286">
        <f t="shared" si="21"/>
        <v>7</v>
      </c>
    </row>
    <row r="1287" spans="1:10" x14ac:dyDescent="0.3">
      <c r="A1287">
        <v>7575.4889999999996</v>
      </c>
      <c r="B1287">
        <v>26.37</v>
      </c>
      <c r="G1287" t="s">
        <v>23</v>
      </c>
      <c r="H1287" s="1">
        <v>45638</v>
      </c>
      <c r="I1287" s="1">
        <v>45647</v>
      </c>
      <c r="J1287">
        <f t="shared" si="21"/>
        <v>9</v>
      </c>
    </row>
    <row r="1288" spans="1:10" x14ac:dyDescent="0.3">
      <c r="A1288">
        <v>1889.2650000000001</v>
      </c>
      <c r="B1288">
        <v>33.65</v>
      </c>
      <c r="G1288" t="s">
        <v>23</v>
      </c>
      <c r="H1288" s="1">
        <v>45784</v>
      </c>
      <c r="I1288" s="1">
        <v>45790</v>
      </c>
      <c r="J1288">
        <f t="shared" si="21"/>
        <v>6</v>
      </c>
    </row>
    <row r="1289" spans="1:10" x14ac:dyDescent="0.3">
      <c r="A1289">
        <v>8069.76</v>
      </c>
      <c r="B1289">
        <v>11.67</v>
      </c>
      <c r="G1289" t="s">
        <v>19</v>
      </c>
      <c r="H1289" s="1">
        <v>45726</v>
      </c>
      <c r="I1289" s="1">
        <v>45729</v>
      </c>
      <c r="J1289">
        <f t="shared" si="21"/>
        <v>3</v>
      </c>
    </row>
    <row r="1290" spans="1:10" x14ac:dyDescent="0.3">
      <c r="A1290">
        <v>855.4</v>
      </c>
      <c r="B1290">
        <v>30.21</v>
      </c>
      <c r="G1290" t="s">
        <v>19</v>
      </c>
      <c r="H1290" s="1">
        <v>45809</v>
      </c>
      <c r="I1290" s="1">
        <v>45818</v>
      </c>
      <c r="J1290">
        <f t="shared" si="21"/>
        <v>9</v>
      </c>
    </row>
    <row r="1291" spans="1:10" x14ac:dyDescent="0.3">
      <c r="A1291">
        <v>2013.5989999999999</v>
      </c>
      <c r="B1291">
        <v>5.82</v>
      </c>
      <c r="G1291" t="s">
        <v>23</v>
      </c>
      <c r="H1291" s="1">
        <v>45796</v>
      </c>
      <c r="I1291" s="1">
        <v>45798</v>
      </c>
      <c r="J1291">
        <f t="shared" si="21"/>
        <v>2</v>
      </c>
    </row>
    <row r="1292" spans="1:10" x14ac:dyDescent="0.3">
      <c r="A1292">
        <v>899</v>
      </c>
      <c r="B1292">
        <v>43.86</v>
      </c>
      <c r="G1292" t="s">
        <v>19</v>
      </c>
      <c r="H1292" s="1">
        <v>44965</v>
      </c>
      <c r="I1292" s="1">
        <v>44973</v>
      </c>
      <c r="J1292">
        <f t="shared" si="21"/>
        <v>8</v>
      </c>
    </row>
    <row r="1293" spans="1:10" x14ac:dyDescent="0.3">
      <c r="A1293">
        <v>7339.8239999999996</v>
      </c>
      <c r="B1293">
        <v>41.78</v>
      </c>
      <c r="G1293" t="s">
        <v>22</v>
      </c>
      <c r="H1293" s="1">
        <v>45771</v>
      </c>
      <c r="I1293" s="1">
        <v>45780</v>
      </c>
      <c r="J1293">
        <f t="shared" si="21"/>
        <v>9</v>
      </c>
    </row>
    <row r="1294" spans="1:10" x14ac:dyDescent="0.3">
      <c r="A1294">
        <v>3749.2559999999999</v>
      </c>
      <c r="B1294">
        <v>31.44</v>
      </c>
      <c r="G1294" t="s">
        <v>21</v>
      </c>
      <c r="H1294" s="1">
        <v>45536</v>
      </c>
      <c r="I1294" s="1">
        <v>45543</v>
      </c>
      <c r="J1294">
        <f t="shared" si="21"/>
        <v>7</v>
      </c>
    </row>
    <row r="1295" spans="1:10" x14ac:dyDescent="0.3">
      <c r="A1295">
        <v>4509.1085000000003</v>
      </c>
      <c r="B1295">
        <v>13.97</v>
      </c>
      <c r="G1295" t="s">
        <v>22</v>
      </c>
      <c r="H1295" s="1">
        <v>45603</v>
      </c>
      <c r="I1295" s="1">
        <v>45609</v>
      </c>
      <c r="J1295">
        <f t="shared" si="21"/>
        <v>6</v>
      </c>
    </row>
    <row r="1296" spans="1:10" x14ac:dyDescent="0.3">
      <c r="A1296">
        <v>139.13</v>
      </c>
      <c r="B1296">
        <v>35.92</v>
      </c>
      <c r="G1296" t="s">
        <v>19</v>
      </c>
      <c r="H1296" s="1">
        <v>45625</v>
      </c>
      <c r="I1296" s="1">
        <v>45628</v>
      </c>
      <c r="J1296">
        <f t="shared" si="21"/>
        <v>3</v>
      </c>
    </row>
    <row r="1297" spans="1:10" x14ac:dyDescent="0.3">
      <c r="A1297">
        <v>3263.34</v>
      </c>
      <c r="B1297">
        <v>13.19</v>
      </c>
      <c r="G1297" t="s">
        <v>23</v>
      </c>
      <c r="H1297" s="1">
        <v>45026</v>
      </c>
      <c r="I1297" s="1">
        <v>45036</v>
      </c>
      <c r="J1297">
        <f t="shared" si="21"/>
        <v>10</v>
      </c>
    </row>
    <row r="1298" spans="1:10" x14ac:dyDescent="0.3">
      <c r="A1298">
        <v>4174.3</v>
      </c>
      <c r="B1298">
        <v>15.38</v>
      </c>
      <c r="G1298" t="s">
        <v>21</v>
      </c>
      <c r="H1298" s="1">
        <v>45301</v>
      </c>
      <c r="I1298" s="1">
        <v>45307</v>
      </c>
      <c r="J1298">
        <f t="shared" si="21"/>
        <v>6</v>
      </c>
    </row>
    <row r="1299" spans="1:10" x14ac:dyDescent="0.3">
      <c r="A1299">
        <v>537.73799999999994</v>
      </c>
      <c r="B1299">
        <v>49.26</v>
      </c>
      <c r="G1299" t="s">
        <v>20</v>
      </c>
      <c r="H1299" s="1">
        <v>45794</v>
      </c>
      <c r="I1299" s="1">
        <v>45800</v>
      </c>
      <c r="J1299">
        <f t="shared" si="21"/>
        <v>6</v>
      </c>
    </row>
    <row r="1300" spans="1:10" x14ac:dyDescent="0.3">
      <c r="A1300">
        <v>3722.337</v>
      </c>
      <c r="B1300">
        <v>38.72</v>
      </c>
      <c r="G1300" t="s">
        <v>22</v>
      </c>
      <c r="H1300" s="1">
        <v>45499</v>
      </c>
      <c r="I1300" s="1">
        <v>45503</v>
      </c>
      <c r="J1300">
        <f t="shared" si="21"/>
        <v>4</v>
      </c>
    </row>
    <row r="1301" spans="1:10" x14ac:dyDescent="0.3">
      <c r="A1301">
        <v>5904.3719999999994</v>
      </c>
      <c r="B1301">
        <v>25.84</v>
      </c>
      <c r="G1301" t="s">
        <v>20</v>
      </c>
      <c r="H1301" s="1">
        <v>45652</v>
      </c>
      <c r="I1301" s="1">
        <v>45660</v>
      </c>
      <c r="J1301">
        <f t="shared" si="21"/>
        <v>8</v>
      </c>
    </row>
    <row r="1302" spans="1:10" x14ac:dyDescent="0.3">
      <c r="A1302">
        <v>1378.16</v>
      </c>
      <c r="B1302">
        <v>44.92</v>
      </c>
      <c r="G1302" t="s">
        <v>19</v>
      </c>
      <c r="H1302" s="1">
        <v>45680</v>
      </c>
      <c r="I1302" s="1">
        <v>45688</v>
      </c>
      <c r="J1302">
        <f t="shared" si="21"/>
        <v>8</v>
      </c>
    </row>
    <row r="1303" spans="1:10" x14ac:dyDescent="0.3">
      <c r="A1303">
        <v>2811.8159999999998</v>
      </c>
      <c r="B1303">
        <v>47.23</v>
      </c>
      <c r="G1303" t="s">
        <v>20</v>
      </c>
      <c r="H1303" s="1">
        <v>45376</v>
      </c>
      <c r="I1303" s="1">
        <v>45383</v>
      </c>
      <c r="J1303">
        <f t="shared" si="21"/>
        <v>7</v>
      </c>
    </row>
    <row r="1304" spans="1:10" x14ac:dyDescent="0.3">
      <c r="A1304">
        <v>4921.18</v>
      </c>
      <c r="B1304">
        <v>36.72</v>
      </c>
      <c r="G1304" t="s">
        <v>22</v>
      </c>
      <c r="H1304" s="1">
        <v>45720</v>
      </c>
      <c r="I1304" s="1">
        <v>45727</v>
      </c>
      <c r="J1304">
        <f t="shared" si="21"/>
        <v>7</v>
      </c>
    </row>
    <row r="1305" spans="1:10" x14ac:dyDescent="0.3">
      <c r="A1305">
        <v>3469.2840000000001</v>
      </c>
      <c r="B1305">
        <v>32.799999999999997</v>
      </c>
      <c r="G1305" t="s">
        <v>20</v>
      </c>
      <c r="H1305" s="1">
        <v>45219</v>
      </c>
      <c r="I1305" s="1">
        <v>45223</v>
      </c>
      <c r="J1305">
        <f t="shared" si="21"/>
        <v>4</v>
      </c>
    </row>
    <row r="1306" spans="1:10" x14ac:dyDescent="0.3">
      <c r="A1306">
        <v>46.988</v>
      </c>
      <c r="B1306">
        <v>21.73</v>
      </c>
      <c r="G1306" t="s">
        <v>22</v>
      </c>
      <c r="H1306" s="1">
        <v>45554</v>
      </c>
      <c r="I1306" s="1">
        <v>45563</v>
      </c>
      <c r="J1306">
        <f t="shared" si="21"/>
        <v>9</v>
      </c>
    </row>
    <row r="1307" spans="1:10" x14ac:dyDescent="0.3">
      <c r="A1307">
        <v>7468.1</v>
      </c>
      <c r="B1307">
        <v>12.87</v>
      </c>
      <c r="G1307" t="s">
        <v>21</v>
      </c>
      <c r="H1307" s="1">
        <v>45192</v>
      </c>
      <c r="I1307" s="1">
        <v>45195</v>
      </c>
      <c r="J1307">
        <f t="shared" si="21"/>
        <v>3</v>
      </c>
    </row>
    <row r="1308" spans="1:10" x14ac:dyDescent="0.3">
      <c r="A1308">
        <v>8607.15</v>
      </c>
      <c r="B1308">
        <v>35.869999999999997</v>
      </c>
      <c r="G1308" t="s">
        <v>19</v>
      </c>
      <c r="H1308" s="1">
        <v>45657</v>
      </c>
      <c r="I1308" s="1">
        <v>45659</v>
      </c>
      <c r="J1308">
        <f t="shared" si="21"/>
        <v>2</v>
      </c>
    </row>
    <row r="1309" spans="1:10" x14ac:dyDescent="0.3">
      <c r="A1309">
        <v>6499.0829999999996</v>
      </c>
      <c r="B1309">
        <v>33.19</v>
      </c>
      <c r="G1309" t="s">
        <v>21</v>
      </c>
      <c r="H1309" s="1">
        <v>45314</v>
      </c>
      <c r="I1309" s="1">
        <v>45322</v>
      </c>
      <c r="J1309">
        <f t="shared" si="21"/>
        <v>8</v>
      </c>
    </row>
    <row r="1310" spans="1:10" x14ac:dyDescent="0.3">
      <c r="A1310">
        <v>3371.7600000000011</v>
      </c>
      <c r="B1310">
        <v>10.44</v>
      </c>
      <c r="G1310" t="s">
        <v>19</v>
      </c>
      <c r="H1310" s="1">
        <v>45090</v>
      </c>
      <c r="I1310" s="1">
        <v>45100</v>
      </c>
      <c r="J1310">
        <f t="shared" si="21"/>
        <v>10</v>
      </c>
    </row>
    <row r="1311" spans="1:10" x14ac:dyDescent="0.3">
      <c r="A1311">
        <v>3061.47</v>
      </c>
      <c r="B1311">
        <v>5.46</v>
      </c>
      <c r="G1311" t="s">
        <v>19</v>
      </c>
      <c r="H1311" s="1">
        <v>45108</v>
      </c>
      <c r="I1311" s="1">
        <v>45113</v>
      </c>
      <c r="J1311">
        <f t="shared" si="21"/>
        <v>5</v>
      </c>
    </row>
    <row r="1312" spans="1:10" x14ac:dyDescent="0.3">
      <c r="A1312">
        <v>276.76</v>
      </c>
      <c r="B1312">
        <v>34.96</v>
      </c>
      <c r="G1312" t="s">
        <v>20</v>
      </c>
      <c r="H1312" s="1">
        <v>45738</v>
      </c>
      <c r="I1312" s="1">
        <v>45741</v>
      </c>
      <c r="J1312">
        <f t="shared" si="21"/>
        <v>3</v>
      </c>
    </row>
    <row r="1313" spans="1:10" x14ac:dyDescent="0.3">
      <c r="A1313">
        <v>2351.3040000000001</v>
      </c>
      <c r="B1313">
        <v>41.87</v>
      </c>
      <c r="G1313" t="s">
        <v>20</v>
      </c>
      <c r="H1313" s="1">
        <v>45695</v>
      </c>
      <c r="I1313" s="1">
        <v>45703</v>
      </c>
      <c r="J1313">
        <f t="shared" si="21"/>
        <v>8</v>
      </c>
    </row>
    <row r="1314" spans="1:10" x14ac:dyDescent="0.3">
      <c r="A1314">
        <v>240.3</v>
      </c>
      <c r="B1314">
        <v>19.170000000000002</v>
      </c>
      <c r="G1314" t="s">
        <v>21</v>
      </c>
      <c r="H1314" s="1">
        <v>45217</v>
      </c>
      <c r="I1314" s="1">
        <v>45225</v>
      </c>
      <c r="J1314">
        <f t="shared" si="21"/>
        <v>8</v>
      </c>
    </row>
    <row r="1315" spans="1:10" x14ac:dyDescent="0.3">
      <c r="A1315">
        <v>351.28800000000001</v>
      </c>
      <c r="B1315">
        <v>38.979999999999997</v>
      </c>
      <c r="G1315" t="s">
        <v>22</v>
      </c>
      <c r="H1315" s="1">
        <v>45293</v>
      </c>
      <c r="I1315" s="1">
        <v>45302</v>
      </c>
      <c r="J1315">
        <f t="shared" si="21"/>
        <v>9</v>
      </c>
    </row>
    <row r="1316" spans="1:10" x14ac:dyDescent="0.3">
      <c r="A1316">
        <v>83.571999999999989</v>
      </c>
      <c r="B1316">
        <v>39.869999999999997</v>
      </c>
      <c r="G1316" t="s">
        <v>20</v>
      </c>
      <c r="H1316" s="1">
        <v>45724</v>
      </c>
      <c r="I1316" s="1">
        <v>45733</v>
      </c>
      <c r="J1316">
        <f t="shared" si="21"/>
        <v>9</v>
      </c>
    </row>
    <row r="1317" spans="1:10" x14ac:dyDescent="0.3">
      <c r="A1317">
        <v>1009.64</v>
      </c>
      <c r="B1317">
        <v>25.54</v>
      </c>
      <c r="G1317" t="s">
        <v>23</v>
      </c>
      <c r="H1317" s="1">
        <v>45110</v>
      </c>
      <c r="I1317" s="1">
        <v>45115</v>
      </c>
      <c r="J1317">
        <f t="shared" si="21"/>
        <v>5</v>
      </c>
    </row>
    <row r="1318" spans="1:10" x14ac:dyDescent="0.3">
      <c r="A1318">
        <v>4221.1170000000002</v>
      </c>
      <c r="B1318">
        <v>15.43</v>
      </c>
      <c r="G1318" t="s">
        <v>21</v>
      </c>
      <c r="H1318" s="1">
        <v>45245</v>
      </c>
      <c r="I1318" s="1">
        <v>45252</v>
      </c>
      <c r="J1318">
        <f t="shared" si="21"/>
        <v>7</v>
      </c>
    </row>
    <row r="1319" spans="1:10" x14ac:dyDescent="0.3">
      <c r="A1319">
        <v>1057.617</v>
      </c>
      <c r="B1319">
        <v>37.14</v>
      </c>
      <c r="G1319" t="s">
        <v>23</v>
      </c>
      <c r="H1319" s="1">
        <v>45332</v>
      </c>
      <c r="I1319" s="1">
        <v>45339</v>
      </c>
      <c r="J1319">
        <f t="shared" si="21"/>
        <v>7</v>
      </c>
    </row>
    <row r="1320" spans="1:10" x14ac:dyDescent="0.3">
      <c r="A1320">
        <v>3752.64</v>
      </c>
      <c r="B1320">
        <v>18.46</v>
      </c>
      <c r="G1320" t="s">
        <v>23</v>
      </c>
      <c r="H1320" s="1">
        <v>45756</v>
      </c>
      <c r="I1320" s="1">
        <v>45766</v>
      </c>
      <c r="J1320">
        <f t="shared" si="21"/>
        <v>10</v>
      </c>
    </row>
    <row r="1321" spans="1:10" x14ac:dyDescent="0.3">
      <c r="A1321">
        <v>3807.4859999999999</v>
      </c>
      <c r="B1321">
        <v>12.91</v>
      </c>
      <c r="G1321" t="s">
        <v>23</v>
      </c>
      <c r="H1321" s="1">
        <v>45178</v>
      </c>
      <c r="I1321" s="1">
        <v>45181</v>
      </c>
      <c r="J1321">
        <f t="shared" si="21"/>
        <v>3</v>
      </c>
    </row>
    <row r="1322" spans="1:10" x14ac:dyDescent="0.3">
      <c r="A1322">
        <v>4619.5174999999999</v>
      </c>
      <c r="B1322">
        <v>26.32</v>
      </c>
      <c r="G1322" t="s">
        <v>19</v>
      </c>
      <c r="H1322" s="1">
        <v>45004</v>
      </c>
      <c r="I1322" s="1">
        <v>45011</v>
      </c>
      <c r="J1322">
        <f t="shared" si="21"/>
        <v>7</v>
      </c>
    </row>
    <row r="1323" spans="1:10" x14ac:dyDescent="0.3">
      <c r="A1323">
        <v>3279.7710000000002</v>
      </c>
      <c r="B1323">
        <v>6.22</v>
      </c>
      <c r="G1323" t="s">
        <v>22</v>
      </c>
      <c r="H1323" s="1">
        <v>45657</v>
      </c>
      <c r="I1323" s="1">
        <v>45659</v>
      </c>
      <c r="J1323">
        <f t="shared" si="21"/>
        <v>2</v>
      </c>
    </row>
    <row r="1324" spans="1:10" x14ac:dyDescent="0.3">
      <c r="A1324">
        <v>2667.6</v>
      </c>
      <c r="B1324">
        <v>9.08</v>
      </c>
      <c r="G1324" t="s">
        <v>22</v>
      </c>
      <c r="H1324" s="1">
        <v>45254</v>
      </c>
      <c r="I1324" s="1">
        <v>45256</v>
      </c>
      <c r="J1324">
        <f t="shared" si="21"/>
        <v>2</v>
      </c>
    </row>
    <row r="1325" spans="1:10" x14ac:dyDescent="0.3">
      <c r="A1325">
        <v>4922.3999999999996</v>
      </c>
      <c r="B1325">
        <v>38.89</v>
      </c>
      <c r="G1325" t="s">
        <v>19</v>
      </c>
      <c r="H1325" s="1">
        <v>45792</v>
      </c>
      <c r="I1325" s="1">
        <v>45799</v>
      </c>
      <c r="J1325">
        <f t="shared" si="21"/>
        <v>7</v>
      </c>
    </row>
    <row r="1326" spans="1:10" x14ac:dyDescent="0.3">
      <c r="A1326">
        <v>4158.3104999999996</v>
      </c>
      <c r="B1326">
        <v>7.54</v>
      </c>
      <c r="G1326" t="s">
        <v>20</v>
      </c>
      <c r="H1326" s="1">
        <v>45753</v>
      </c>
      <c r="I1326" s="1">
        <v>45758</v>
      </c>
      <c r="J1326">
        <f t="shared" si="21"/>
        <v>5</v>
      </c>
    </row>
    <row r="1327" spans="1:10" x14ac:dyDescent="0.3">
      <c r="A1327">
        <v>2168.9279999999999</v>
      </c>
      <c r="B1327">
        <v>9.98</v>
      </c>
      <c r="G1327" t="s">
        <v>20</v>
      </c>
      <c r="H1327" s="1">
        <v>45328</v>
      </c>
      <c r="I1327" s="1">
        <v>45336</v>
      </c>
      <c r="J1327">
        <f t="shared" si="21"/>
        <v>8</v>
      </c>
    </row>
    <row r="1328" spans="1:10" x14ac:dyDescent="0.3">
      <c r="A1328">
        <v>5429.16</v>
      </c>
      <c r="B1328">
        <v>6.49</v>
      </c>
      <c r="G1328" t="s">
        <v>21</v>
      </c>
      <c r="H1328" s="1">
        <v>45791</v>
      </c>
      <c r="I1328" s="1">
        <v>45797</v>
      </c>
      <c r="J1328">
        <f t="shared" si="21"/>
        <v>6</v>
      </c>
    </row>
    <row r="1329" spans="1:10" x14ac:dyDescent="0.3">
      <c r="A1329">
        <v>1476.585</v>
      </c>
      <c r="B1329">
        <v>26.49</v>
      </c>
      <c r="G1329" t="s">
        <v>19</v>
      </c>
      <c r="H1329" s="1">
        <v>44939</v>
      </c>
      <c r="I1329" s="1">
        <v>44944</v>
      </c>
      <c r="J1329">
        <f t="shared" si="21"/>
        <v>5</v>
      </c>
    </row>
    <row r="1330" spans="1:10" x14ac:dyDescent="0.3">
      <c r="A1330">
        <v>3667.14</v>
      </c>
      <c r="B1330">
        <v>24.98</v>
      </c>
      <c r="G1330" t="s">
        <v>21</v>
      </c>
      <c r="H1330" s="1">
        <v>45341</v>
      </c>
      <c r="I1330" s="1">
        <v>45350</v>
      </c>
      <c r="J1330">
        <f t="shared" si="21"/>
        <v>9</v>
      </c>
    </row>
    <row r="1331" spans="1:10" x14ac:dyDescent="0.3">
      <c r="A1331">
        <v>1183.4804999999999</v>
      </c>
      <c r="B1331">
        <v>27.45</v>
      </c>
      <c r="G1331" t="s">
        <v>20</v>
      </c>
      <c r="H1331" s="1">
        <v>45206</v>
      </c>
      <c r="I1331" s="1">
        <v>45211</v>
      </c>
      <c r="J1331">
        <f t="shared" si="21"/>
        <v>5</v>
      </c>
    </row>
    <row r="1332" spans="1:10" x14ac:dyDescent="0.3">
      <c r="A1332">
        <v>751.45099999999991</v>
      </c>
      <c r="B1332">
        <v>28.71</v>
      </c>
      <c r="G1332" t="s">
        <v>22</v>
      </c>
      <c r="H1332" s="1">
        <v>45552</v>
      </c>
      <c r="I1332" s="1">
        <v>45554</v>
      </c>
      <c r="J1332">
        <f t="shared" si="21"/>
        <v>2</v>
      </c>
    </row>
    <row r="1333" spans="1:10" x14ac:dyDescent="0.3">
      <c r="A1333">
        <v>551.35149999999999</v>
      </c>
      <c r="B1333">
        <v>17.03</v>
      </c>
      <c r="G1333" t="s">
        <v>21</v>
      </c>
      <c r="H1333" s="1">
        <v>45053</v>
      </c>
      <c r="I1333" s="1">
        <v>45063</v>
      </c>
      <c r="J1333">
        <f t="shared" si="21"/>
        <v>10</v>
      </c>
    </row>
    <row r="1334" spans="1:10" x14ac:dyDescent="0.3">
      <c r="A1334">
        <v>5173.1679999999997</v>
      </c>
      <c r="B1334">
        <v>29.11</v>
      </c>
      <c r="G1334" t="s">
        <v>21</v>
      </c>
      <c r="H1334" s="1">
        <v>45272</v>
      </c>
      <c r="I1334" s="1">
        <v>45281</v>
      </c>
      <c r="J1334">
        <f t="shared" si="21"/>
        <v>9</v>
      </c>
    </row>
    <row r="1335" spans="1:10" x14ac:dyDescent="0.3">
      <c r="A1335">
        <v>32.262</v>
      </c>
      <c r="B1335">
        <v>16.39</v>
      </c>
      <c r="G1335" t="s">
        <v>22</v>
      </c>
      <c r="H1335" s="1">
        <v>45727</v>
      </c>
      <c r="I1335" s="1">
        <v>45730</v>
      </c>
      <c r="J1335">
        <f t="shared" si="21"/>
        <v>3</v>
      </c>
    </row>
    <row r="1336" spans="1:10" x14ac:dyDescent="0.3">
      <c r="A1336">
        <v>359.44200000000001</v>
      </c>
      <c r="B1336">
        <v>7.59</v>
      </c>
      <c r="G1336" t="s">
        <v>19</v>
      </c>
      <c r="H1336" s="1">
        <v>45380</v>
      </c>
      <c r="I1336" s="1">
        <v>45389</v>
      </c>
      <c r="J1336">
        <f t="shared" si="21"/>
        <v>9</v>
      </c>
    </row>
    <row r="1337" spans="1:10" x14ac:dyDescent="0.3">
      <c r="A1337">
        <v>366.36</v>
      </c>
      <c r="B1337">
        <v>49.09</v>
      </c>
      <c r="G1337" t="s">
        <v>23</v>
      </c>
      <c r="H1337" s="1">
        <v>45501</v>
      </c>
      <c r="I1337" s="1">
        <v>45509</v>
      </c>
      <c r="J1337">
        <f t="shared" si="21"/>
        <v>8</v>
      </c>
    </row>
    <row r="1338" spans="1:10" x14ac:dyDescent="0.3">
      <c r="A1338">
        <v>1235.556</v>
      </c>
      <c r="B1338">
        <v>10.34</v>
      </c>
      <c r="G1338" t="s">
        <v>20</v>
      </c>
      <c r="H1338" s="1">
        <v>45484</v>
      </c>
      <c r="I1338" s="1">
        <v>45494</v>
      </c>
      <c r="J1338">
        <f t="shared" si="21"/>
        <v>10</v>
      </c>
    </row>
    <row r="1339" spans="1:10" x14ac:dyDescent="0.3">
      <c r="A1339">
        <v>1684.4960000000001</v>
      </c>
      <c r="B1339">
        <v>18.02</v>
      </c>
      <c r="G1339" t="s">
        <v>23</v>
      </c>
      <c r="H1339" s="1">
        <v>45478</v>
      </c>
      <c r="I1339" s="1">
        <v>45487</v>
      </c>
      <c r="J1339">
        <f t="shared" si="21"/>
        <v>9</v>
      </c>
    </row>
    <row r="1340" spans="1:10" x14ac:dyDescent="0.3">
      <c r="A1340">
        <v>1372.56</v>
      </c>
      <c r="B1340">
        <v>25.25</v>
      </c>
      <c r="G1340" t="s">
        <v>19</v>
      </c>
      <c r="H1340" s="1">
        <v>45370</v>
      </c>
      <c r="I1340" s="1">
        <v>45375</v>
      </c>
      <c r="J1340">
        <f t="shared" si="21"/>
        <v>5</v>
      </c>
    </row>
    <row r="1341" spans="1:10" x14ac:dyDescent="0.3">
      <c r="A1341">
        <v>7628.7420000000011</v>
      </c>
      <c r="B1341">
        <v>14.87</v>
      </c>
      <c r="G1341" t="s">
        <v>22</v>
      </c>
      <c r="H1341" s="1">
        <v>45285</v>
      </c>
      <c r="I1341" s="1">
        <v>45289</v>
      </c>
      <c r="J1341">
        <f t="shared" si="21"/>
        <v>4</v>
      </c>
    </row>
    <row r="1342" spans="1:10" x14ac:dyDescent="0.3">
      <c r="A1342">
        <v>4601.3999999999996</v>
      </c>
      <c r="B1342">
        <v>11.62</v>
      </c>
      <c r="G1342" t="s">
        <v>20</v>
      </c>
      <c r="H1342" s="1">
        <v>45629</v>
      </c>
      <c r="I1342" s="1">
        <v>45631</v>
      </c>
      <c r="J1342">
        <f t="shared" si="21"/>
        <v>2</v>
      </c>
    </row>
    <row r="1343" spans="1:10" x14ac:dyDescent="0.3">
      <c r="A1343">
        <v>4996.9799999999996</v>
      </c>
      <c r="B1343">
        <v>9.2899999999999991</v>
      </c>
      <c r="G1343" t="s">
        <v>19</v>
      </c>
      <c r="H1343" s="1">
        <v>45177</v>
      </c>
      <c r="I1343" s="1">
        <v>45184</v>
      </c>
      <c r="J1343">
        <f t="shared" si="21"/>
        <v>7</v>
      </c>
    </row>
    <row r="1344" spans="1:10" x14ac:dyDescent="0.3">
      <c r="A1344">
        <v>908.02</v>
      </c>
      <c r="B1344">
        <v>9.7799999999999994</v>
      </c>
      <c r="G1344" t="s">
        <v>19</v>
      </c>
      <c r="H1344" s="1">
        <v>45296</v>
      </c>
      <c r="I1344" s="1">
        <v>45298</v>
      </c>
      <c r="J1344">
        <f t="shared" si="21"/>
        <v>2</v>
      </c>
    </row>
    <row r="1345" spans="1:10" x14ac:dyDescent="0.3">
      <c r="A1345">
        <v>776.86249999999995</v>
      </c>
      <c r="B1345">
        <v>28.9</v>
      </c>
      <c r="G1345" t="s">
        <v>20</v>
      </c>
      <c r="H1345" s="1">
        <v>45141</v>
      </c>
      <c r="I1345" s="1">
        <v>45148</v>
      </c>
      <c r="J1345">
        <f t="shared" si="21"/>
        <v>7</v>
      </c>
    </row>
    <row r="1346" spans="1:10" x14ac:dyDescent="0.3">
      <c r="A1346">
        <v>1699.32</v>
      </c>
      <c r="B1346">
        <v>11.72</v>
      </c>
      <c r="G1346" t="s">
        <v>21</v>
      </c>
      <c r="H1346" s="1">
        <v>45699</v>
      </c>
      <c r="I1346" s="1">
        <v>45709</v>
      </c>
      <c r="J1346">
        <f t="shared" si="21"/>
        <v>10</v>
      </c>
    </row>
    <row r="1347" spans="1:10" x14ac:dyDescent="0.3">
      <c r="A1347">
        <v>1793.7719999999999</v>
      </c>
      <c r="B1347">
        <v>21.95</v>
      </c>
      <c r="G1347" t="s">
        <v>20</v>
      </c>
      <c r="H1347" s="1">
        <v>45094</v>
      </c>
      <c r="I1347" s="1">
        <v>45098</v>
      </c>
      <c r="J1347">
        <f t="shared" ref="J1347:J1410" si="22">I1347-H1347</f>
        <v>4</v>
      </c>
    </row>
    <row r="1348" spans="1:10" x14ac:dyDescent="0.3">
      <c r="A1348">
        <v>5521.1239999999998</v>
      </c>
      <c r="B1348">
        <v>29.19</v>
      </c>
      <c r="G1348" t="s">
        <v>22</v>
      </c>
      <c r="H1348" s="1">
        <v>45327</v>
      </c>
      <c r="I1348" s="1">
        <v>45336</v>
      </c>
      <c r="J1348">
        <f t="shared" si="22"/>
        <v>9</v>
      </c>
    </row>
    <row r="1349" spans="1:10" x14ac:dyDescent="0.3">
      <c r="A1349">
        <v>580.29499999999996</v>
      </c>
      <c r="B1349">
        <v>24.33</v>
      </c>
      <c r="G1349" t="s">
        <v>20</v>
      </c>
      <c r="H1349" s="1">
        <v>45368</v>
      </c>
      <c r="I1349" s="1">
        <v>45378</v>
      </c>
      <c r="J1349">
        <f t="shared" si="22"/>
        <v>10</v>
      </c>
    </row>
    <row r="1350" spans="1:10" x14ac:dyDescent="0.3">
      <c r="A1350">
        <v>205.27600000000001</v>
      </c>
      <c r="B1350">
        <v>42.65</v>
      </c>
      <c r="G1350" t="s">
        <v>22</v>
      </c>
      <c r="H1350" s="1">
        <v>45325</v>
      </c>
      <c r="I1350" s="1">
        <v>45331</v>
      </c>
      <c r="J1350">
        <f t="shared" si="22"/>
        <v>6</v>
      </c>
    </row>
    <row r="1351" spans="1:10" x14ac:dyDescent="0.3">
      <c r="A1351">
        <v>638.28</v>
      </c>
      <c r="B1351">
        <v>9.2899999999999991</v>
      </c>
      <c r="G1351" t="s">
        <v>21</v>
      </c>
      <c r="H1351" s="1">
        <v>45016</v>
      </c>
      <c r="I1351" s="1">
        <v>45026</v>
      </c>
      <c r="J1351">
        <f t="shared" si="22"/>
        <v>10</v>
      </c>
    </row>
    <row r="1352" spans="1:10" x14ac:dyDescent="0.3">
      <c r="A1352">
        <v>2375.6480000000001</v>
      </c>
      <c r="B1352">
        <v>45.99</v>
      </c>
      <c r="G1352" t="s">
        <v>23</v>
      </c>
      <c r="H1352" s="1">
        <v>45156</v>
      </c>
      <c r="I1352" s="1">
        <v>45160</v>
      </c>
      <c r="J1352">
        <f t="shared" si="22"/>
        <v>4</v>
      </c>
    </row>
    <row r="1353" spans="1:10" x14ac:dyDescent="0.3">
      <c r="A1353">
        <v>1163.028</v>
      </c>
      <c r="B1353">
        <v>32.75</v>
      </c>
      <c r="G1353" t="s">
        <v>22</v>
      </c>
      <c r="H1353" s="1">
        <v>45179</v>
      </c>
      <c r="I1353" s="1">
        <v>45182</v>
      </c>
      <c r="J1353">
        <f t="shared" si="22"/>
        <v>3</v>
      </c>
    </row>
    <row r="1354" spans="1:10" x14ac:dyDescent="0.3">
      <c r="A1354">
        <v>1970.64</v>
      </c>
      <c r="B1354">
        <v>21.46</v>
      </c>
      <c r="G1354" t="s">
        <v>20</v>
      </c>
      <c r="H1354" s="1">
        <v>45320</v>
      </c>
      <c r="I1354" s="1">
        <v>45325</v>
      </c>
      <c r="J1354">
        <f t="shared" si="22"/>
        <v>5</v>
      </c>
    </row>
    <row r="1355" spans="1:10" x14ac:dyDescent="0.3">
      <c r="A1355">
        <v>6725.8</v>
      </c>
      <c r="B1355">
        <v>25.02</v>
      </c>
      <c r="G1355" t="s">
        <v>21</v>
      </c>
      <c r="H1355" s="1">
        <v>45372</v>
      </c>
      <c r="I1355" s="1">
        <v>45381</v>
      </c>
      <c r="J1355">
        <f t="shared" si="22"/>
        <v>9</v>
      </c>
    </row>
    <row r="1356" spans="1:10" x14ac:dyDescent="0.3">
      <c r="A1356">
        <v>1135.575</v>
      </c>
      <c r="B1356">
        <v>36.79</v>
      </c>
      <c r="G1356" t="s">
        <v>23</v>
      </c>
      <c r="H1356" s="1">
        <v>45507</v>
      </c>
      <c r="I1356" s="1">
        <v>45509</v>
      </c>
      <c r="J1356">
        <f t="shared" si="22"/>
        <v>2</v>
      </c>
    </row>
    <row r="1357" spans="1:10" x14ac:dyDescent="0.3">
      <c r="A1357">
        <v>21.75</v>
      </c>
      <c r="B1357">
        <v>7.35</v>
      </c>
      <c r="G1357" t="s">
        <v>21</v>
      </c>
      <c r="H1357" s="1">
        <v>45782</v>
      </c>
      <c r="I1357" s="1">
        <v>45791</v>
      </c>
      <c r="J1357">
        <f t="shared" si="22"/>
        <v>9</v>
      </c>
    </row>
    <row r="1358" spans="1:10" x14ac:dyDescent="0.3">
      <c r="A1358">
        <v>1745.172</v>
      </c>
      <c r="B1358">
        <v>20.9</v>
      </c>
      <c r="G1358" t="s">
        <v>23</v>
      </c>
      <c r="H1358" s="1">
        <v>44965</v>
      </c>
      <c r="I1358" s="1">
        <v>44973</v>
      </c>
      <c r="J1358">
        <f t="shared" si="22"/>
        <v>8</v>
      </c>
    </row>
    <row r="1359" spans="1:10" x14ac:dyDescent="0.3">
      <c r="A1359">
        <v>1314.355</v>
      </c>
      <c r="B1359">
        <v>15.25</v>
      </c>
      <c r="G1359" t="s">
        <v>22</v>
      </c>
      <c r="H1359" s="1">
        <v>45072</v>
      </c>
      <c r="I1359" s="1">
        <v>45082</v>
      </c>
      <c r="J1359">
        <f t="shared" si="22"/>
        <v>10</v>
      </c>
    </row>
    <row r="1360" spans="1:10" x14ac:dyDescent="0.3">
      <c r="A1360">
        <v>327.84300000000002</v>
      </c>
      <c r="B1360">
        <v>8.91</v>
      </c>
      <c r="G1360" t="s">
        <v>19</v>
      </c>
      <c r="H1360" s="1">
        <v>45488</v>
      </c>
      <c r="I1360" s="1">
        <v>45495</v>
      </c>
      <c r="J1360">
        <f t="shared" si="22"/>
        <v>7</v>
      </c>
    </row>
    <row r="1361" spans="1:10" x14ac:dyDescent="0.3">
      <c r="A1361">
        <v>2757.78</v>
      </c>
      <c r="B1361">
        <v>15.81</v>
      </c>
      <c r="G1361" t="s">
        <v>21</v>
      </c>
      <c r="H1361" s="1">
        <v>45644</v>
      </c>
      <c r="I1361" s="1">
        <v>45653</v>
      </c>
      <c r="J1361">
        <f t="shared" si="22"/>
        <v>9</v>
      </c>
    </row>
    <row r="1362" spans="1:10" x14ac:dyDescent="0.3">
      <c r="A1362">
        <v>9541.8000000000011</v>
      </c>
      <c r="B1362">
        <v>37.78</v>
      </c>
      <c r="G1362" t="s">
        <v>21</v>
      </c>
      <c r="H1362" s="1">
        <v>45564</v>
      </c>
      <c r="I1362" s="1">
        <v>45573</v>
      </c>
      <c r="J1362">
        <f t="shared" si="22"/>
        <v>9</v>
      </c>
    </row>
    <row r="1363" spans="1:10" x14ac:dyDescent="0.3">
      <c r="A1363">
        <v>3592.08</v>
      </c>
      <c r="B1363">
        <v>20.92</v>
      </c>
      <c r="G1363" t="s">
        <v>20</v>
      </c>
      <c r="H1363" s="1">
        <v>45590</v>
      </c>
      <c r="I1363" s="1">
        <v>45597</v>
      </c>
      <c r="J1363">
        <f t="shared" si="22"/>
        <v>7</v>
      </c>
    </row>
    <row r="1364" spans="1:10" x14ac:dyDescent="0.3">
      <c r="A1364">
        <v>8366.08</v>
      </c>
      <c r="B1364">
        <v>6.17</v>
      </c>
      <c r="G1364" t="s">
        <v>21</v>
      </c>
      <c r="H1364" s="1">
        <v>45663</v>
      </c>
      <c r="I1364" s="1">
        <v>45673</v>
      </c>
      <c r="J1364">
        <f t="shared" si="22"/>
        <v>10</v>
      </c>
    </row>
    <row r="1365" spans="1:10" x14ac:dyDescent="0.3">
      <c r="A1365">
        <v>304.02</v>
      </c>
      <c r="B1365">
        <v>23.15</v>
      </c>
      <c r="G1365" t="s">
        <v>22</v>
      </c>
      <c r="H1365" s="1">
        <v>45249</v>
      </c>
      <c r="I1365" s="1">
        <v>45251</v>
      </c>
      <c r="J1365">
        <f t="shared" si="22"/>
        <v>2</v>
      </c>
    </row>
    <row r="1366" spans="1:10" x14ac:dyDescent="0.3">
      <c r="A1366">
        <v>5032.5014999999994</v>
      </c>
      <c r="B1366">
        <v>29.9</v>
      </c>
      <c r="G1366" t="s">
        <v>20</v>
      </c>
      <c r="H1366" s="1">
        <v>45393</v>
      </c>
      <c r="I1366" s="1">
        <v>45399</v>
      </c>
      <c r="J1366">
        <f t="shared" si="22"/>
        <v>6</v>
      </c>
    </row>
    <row r="1367" spans="1:10" x14ac:dyDescent="0.3">
      <c r="A1367">
        <v>750.00599999999997</v>
      </c>
      <c r="B1367">
        <v>23.07</v>
      </c>
      <c r="G1367" t="s">
        <v>20</v>
      </c>
      <c r="H1367" s="1">
        <v>45381</v>
      </c>
      <c r="I1367" s="1">
        <v>45388</v>
      </c>
      <c r="J1367">
        <f t="shared" si="22"/>
        <v>7</v>
      </c>
    </row>
    <row r="1368" spans="1:10" x14ac:dyDescent="0.3">
      <c r="A1368">
        <v>5159.880000000001</v>
      </c>
      <c r="B1368">
        <v>15.54</v>
      </c>
      <c r="G1368" t="s">
        <v>21</v>
      </c>
      <c r="H1368" s="1">
        <v>45621</v>
      </c>
      <c r="I1368" s="1">
        <v>45625</v>
      </c>
      <c r="J1368">
        <f t="shared" si="22"/>
        <v>4</v>
      </c>
    </row>
    <row r="1369" spans="1:10" x14ac:dyDescent="0.3">
      <c r="A1369">
        <v>5972.8304999999991</v>
      </c>
      <c r="B1369">
        <v>18.22</v>
      </c>
      <c r="G1369" t="s">
        <v>21</v>
      </c>
      <c r="H1369" s="1">
        <v>45663</v>
      </c>
      <c r="I1369" s="1">
        <v>45672</v>
      </c>
      <c r="J1369">
        <f t="shared" si="22"/>
        <v>9</v>
      </c>
    </row>
    <row r="1370" spans="1:10" x14ac:dyDescent="0.3">
      <c r="A1370">
        <v>2311.54</v>
      </c>
      <c r="B1370">
        <v>41.73</v>
      </c>
      <c r="G1370" t="s">
        <v>23</v>
      </c>
      <c r="H1370" s="1">
        <v>45031</v>
      </c>
      <c r="I1370" s="1">
        <v>45034</v>
      </c>
      <c r="J1370">
        <f t="shared" si="22"/>
        <v>3</v>
      </c>
    </row>
    <row r="1371" spans="1:10" x14ac:dyDescent="0.3">
      <c r="A1371">
        <v>4069.889999999999</v>
      </c>
      <c r="B1371">
        <v>15.87</v>
      </c>
      <c r="G1371" t="s">
        <v>19</v>
      </c>
      <c r="H1371" s="1">
        <v>45329</v>
      </c>
      <c r="I1371" s="1">
        <v>45339</v>
      </c>
      <c r="J1371">
        <f t="shared" si="22"/>
        <v>10</v>
      </c>
    </row>
    <row r="1372" spans="1:10" x14ac:dyDescent="0.3">
      <c r="A1372">
        <v>893.37599999999998</v>
      </c>
      <c r="B1372">
        <v>45.11</v>
      </c>
      <c r="G1372" t="s">
        <v>19</v>
      </c>
      <c r="H1372" s="1">
        <v>45079</v>
      </c>
      <c r="I1372" s="1">
        <v>45082</v>
      </c>
      <c r="J1372">
        <f t="shared" si="22"/>
        <v>3</v>
      </c>
    </row>
    <row r="1373" spans="1:10" x14ac:dyDescent="0.3">
      <c r="A1373">
        <v>2080</v>
      </c>
      <c r="B1373">
        <v>18.25</v>
      </c>
      <c r="G1373" t="s">
        <v>19</v>
      </c>
      <c r="H1373" s="1">
        <v>45162</v>
      </c>
      <c r="I1373" s="1">
        <v>45171</v>
      </c>
      <c r="J1373">
        <f t="shared" si="22"/>
        <v>9</v>
      </c>
    </row>
    <row r="1374" spans="1:10" x14ac:dyDescent="0.3">
      <c r="A1374">
        <v>6281.77</v>
      </c>
      <c r="B1374">
        <v>12.6</v>
      </c>
      <c r="G1374" t="s">
        <v>20</v>
      </c>
      <c r="H1374" s="1">
        <v>45632</v>
      </c>
      <c r="I1374" s="1">
        <v>45637</v>
      </c>
      <c r="J1374">
        <f t="shared" si="22"/>
        <v>5</v>
      </c>
    </row>
    <row r="1375" spans="1:10" x14ac:dyDescent="0.3">
      <c r="A1375">
        <v>649.14300000000003</v>
      </c>
      <c r="B1375">
        <v>30.43</v>
      </c>
      <c r="G1375" t="s">
        <v>19</v>
      </c>
      <c r="H1375" s="1">
        <v>45268</v>
      </c>
      <c r="I1375" s="1">
        <v>45274</v>
      </c>
      <c r="J1375">
        <f t="shared" si="22"/>
        <v>6</v>
      </c>
    </row>
    <row r="1376" spans="1:10" x14ac:dyDescent="0.3">
      <c r="A1376">
        <v>1588.08</v>
      </c>
      <c r="B1376">
        <v>23.25</v>
      </c>
      <c r="G1376" t="s">
        <v>20</v>
      </c>
      <c r="H1376" s="1">
        <v>45058</v>
      </c>
      <c r="I1376" s="1">
        <v>45066</v>
      </c>
      <c r="J1376">
        <f t="shared" si="22"/>
        <v>8</v>
      </c>
    </row>
    <row r="1377" spans="1:10" x14ac:dyDescent="0.3">
      <c r="A1377">
        <v>1608.825</v>
      </c>
      <c r="B1377">
        <v>44.91</v>
      </c>
      <c r="G1377" t="s">
        <v>23</v>
      </c>
      <c r="H1377" s="1">
        <v>45771</v>
      </c>
      <c r="I1377" s="1">
        <v>45774</v>
      </c>
      <c r="J1377">
        <f t="shared" si="22"/>
        <v>3</v>
      </c>
    </row>
    <row r="1378" spans="1:10" x14ac:dyDescent="0.3">
      <c r="A1378">
        <v>2910.7620000000002</v>
      </c>
      <c r="B1378">
        <v>36.68</v>
      </c>
      <c r="G1378" t="s">
        <v>22</v>
      </c>
      <c r="H1378" s="1">
        <v>45039</v>
      </c>
      <c r="I1378" s="1">
        <v>45049</v>
      </c>
      <c r="J1378">
        <f t="shared" si="22"/>
        <v>10</v>
      </c>
    </row>
    <row r="1379" spans="1:10" x14ac:dyDescent="0.3">
      <c r="A1379">
        <v>114.19</v>
      </c>
      <c r="B1379">
        <v>44.99</v>
      </c>
      <c r="G1379" t="s">
        <v>21</v>
      </c>
      <c r="H1379" s="1">
        <v>44944</v>
      </c>
      <c r="I1379" s="1">
        <v>44947</v>
      </c>
      <c r="J1379">
        <f t="shared" si="22"/>
        <v>3</v>
      </c>
    </row>
    <row r="1380" spans="1:10" x14ac:dyDescent="0.3">
      <c r="A1380">
        <v>1871.7594999999999</v>
      </c>
      <c r="B1380">
        <v>6.81</v>
      </c>
      <c r="G1380" t="s">
        <v>21</v>
      </c>
      <c r="H1380" s="1">
        <v>45788</v>
      </c>
      <c r="I1380" s="1">
        <v>45798</v>
      </c>
      <c r="J1380">
        <f t="shared" si="22"/>
        <v>10</v>
      </c>
    </row>
    <row r="1381" spans="1:10" x14ac:dyDescent="0.3">
      <c r="A1381">
        <v>1621.84</v>
      </c>
      <c r="B1381">
        <v>29.18</v>
      </c>
      <c r="G1381" t="s">
        <v>23</v>
      </c>
      <c r="H1381" s="1">
        <v>45649</v>
      </c>
      <c r="I1381" s="1">
        <v>45659</v>
      </c>
      <c r="J1381">
        <f t="shared" si="22"/>
        <v>10</v>
      </c>
    </row>
    <row r="1382" spans="1:10" x14ac:dyDescent="0.3">
      <c r="A1382">
        <v>2476.8404999999998</v>
      </c>
      <c r="B1382">
        <v>6.36</v>
      </c>
      <c r="G1382" t="s">
        <v>23</v>
      </c>
      <c r="H1382" s="1">
        <v>45158</v>
      </c>
      <c r="I1382" s="1">
        <v>45166</v>
      </c>
      <c r="J1382">
        <f t="shared" si="22"/>
        <v>8</v>
      </c>
    </row>
    <row r="1383" spans="1:10" x14ac:dyDescent="0.3">
      <c r="A1383">
        <v>1927.44</v>
      </c>
      <c r="B1383">
        <v>21.92</v>
      </c>
      <c r="G1383" t="s">
        <v>22</v>
      </c>
      <c r="H1383" s="1">
        <v>45734</v>
      </c>
      <c r="I1383" s="1">
        <v>45739</v>
      </c>
      <c r="J1383">
        <f t="shared" si="22"/>
        <v>5</v>
      </c>
    </row>
    <row r="1384" spans="1:10" x14ac:dyDescent="0.3">
      <c r="A1384">
        <v>312.2</v>
      </c>
      <c r="B1384">
        <v>14.03</v>
      </c>
      <c r="G1384" t="s">
        <v>22</v>
      </c>
      <c r="H1384" s="1">
        <v>45307</v>
      </c>
      <c r="I1384" s="1">
        <v>45315</v>
      </c>
      <c r="J1384">
        <f t="shared" si="22"/>
        <v>8</v>
      </c>
    </row>
    <row r="1385" spans="1:10" x14ac:dyDescent="0.3">
      <c r="A1385">
        <v>309.95999999999998</v>
      </c>
      <c r="B1385">
        <v>26.42</v>
      </c>
      <c r="G1385" t="s">
        <v>19</v>
      </c>
      <c r="H1385" s="1">
        <v>45441</v>
      </c>
      <c r="I1385" s="1">
        <v>45451</v>
      </c>
      <c r="J1385">
        <f t="shared" si="22"/>
        <v>10</v>
      </c>
    </row>
    <row r="1386" spans="1:10" x14ac:dyDescent="0.3">
      <c r="A1386">
        <v>3480.5970000000002</v>
      </c>
      <c r="B1386">
        <v>40.76</v>
      </c>
      <c r="G1386" t="s">
        <v>20</v>
      </c>
      <c r="H1386" s="1">
        <v>45741</v>
      </c>
      <c r="I1386" s="1">
        <v>45743</v>
      </c>
      <c r="J1386">
        <f t="shared" si="22"/>
        <v>2</v>
      </c>
    </row>
    <row r="1387" spans="1:10" x14ac:dyDescent="0.3">
      <c r="A1387">
        <v>3822.0875000000001</v>
      </c>
      <c r="B1387">
        <v>8.3699999999999992</v>
      </c>
      <c r="G1387" t="s">
        <v>22</v>
      </c>
      <c r="H1387" s="1">
        <v>45738</v>
      </c>
      <c r="I1387" s="1">
        <v>45743</v>
      </c>
      <c r="J1387">
        <f t="shared" si="22"/>
        <v>5</v>
      </c>
    </row>
    <row r="1388" spans="1:10" x14ac:dyDescent="0.3">
      <c r="A1388">
        <v>710.75199999999995</v>
      </c>
      <c r="B1388">
        <v>26.12</v>
      </c>
      <c r="G1388" t="s">
        <v>19</v>
      </c>
      <c r="H1388" s="1">
        <v>45521</v>
      </c>
      <c r="I1388" s="1">
        <v>45528</v>
      </c>
      <c r="J1388">
        <f t="shared" si="22"/>
        <v>7</v>
      </c>
    </row>
    <row r="1389" spans="1:10" x14ac:dyDescent="0.3">
      <c r="A1389">
        <v>451.76400000000001</v>
      </c>
      <c r="B1389">
        <v>18.8</v>
      </c>
      <c r="G1389" t="s">
        <v>20</v>
      </c>
      <c r="H1389" s="1">
        <v>45445</v>
      </c>
      <c r="I1389" s="1">
        <v>45455</v>
      </c>
      <c r="J1389">
        <f t="shared" si="22"/>
        <v>10</v>
      </c>
    </row>
    <row r="1390" spans="1:10" x14ac:dyDescent="0.3">
      <c r="A1390">
        <v>4257.2879999999996</v>
      </c>
      <c r="B1390">
        <v>45.14</v>
      </c>
      <c r="G1390" t="s">
        <v>20</v>
      </c>
      <c r="H1390" s="1">
        <v>45016</v>
      </c>
      <c r="I1390" s="1">
        <v>45026</v>
      </c>
      <c r="J1390">
        <f t="shared" si="22"/>
        <v>10</v>
      </c>
    </row>
    <row r="1391" spans="1:10" x14ac:dyDescent="0.3">
      <c r="A1391">
        <v>6323.4089999999997</v>
      </c>
      <c r="B1391">
        <v>16.399999999999999</v>
      </c>
      <c r="G1391" t="s">
        <v>23</v>
      </c>
      <c r="H1391" s="1">
        <v>45431</v>
      </c>
      <c r="I1391" s="1">
        <v>45435</v>
      </c>
      <c r="J1391">
        <f t="shared" si="22"/>
        <v>4</v>
      </c>
    </row>
    <row r="1392" spans="1:10" x14ac:dyDescent="0.3">
      <c r="A1392">
        <v>2244.2399999999998</v>
      </c>
      <c r="B1392">
        <v>9.86</v>
      </c>
      <c r="G1392" t="s">
        <v>23</v>
      </c>
      <c r="H1392" s="1">
        <v>44987</v>
      </c>
      <c r="I1392" s="1">
        <v>44990</v>
      </c>
      <c r="J1392">
        <f t="shared" si="22"/>
        <v>3</v>
      </c>
    </row>
    <row r="1393" spans="1:10" x14ac:dyDescent="0.3">
      <c r="A1393">
        <v>2659.752</v>
      </c>
      <c r="B1393">
        <v>20.92</v>
      </c>
      <c r="G1393" t="s">
        <v>21</v>
      </c>
      <c r="H1393" s="1">
        <v>44998</v>
      </c>
      <c r="I1393" s="1">
        <v>45007</v>
      </c>
      <c r="J1393">
        <f t="shared" si="22"/>
        <v>9</v>
      </c>
    </row>
    <row r="1394" spans="1:10" x14ac:dyDescent="0.3">
      <c r="A1394">
        <v>3311.9850000000001</v>
      </c>
      <c r="B1394">
        <v>42.79</v>
      </c>
      <c r="G1394" t="s">
        <v>23</v>
      </c>
      <c r="H1394" s="1">
        <v>45763</v>
      </c>
      <c r="I1394" s="1">
        <v>45765</v>
      </c>
      <c r="J1394">
        <f t="shared" si="22"/>
        <v>2</v>
      </c>
    </row>
    <row r="1395" spans="1:10" x14ac:dyDescent="0.3">
      <c r="A1395">
        <v>2366.4</v>
      </c>
      <c r="B1395">
        <v>30.69</v>
      </c>
      <c r="G1395" t="s">
        <v>21</v>
      </c>
      <c r="H1395" s="1">
        <v>45448</v>
      </c>
      <c r="I1395" s="1">
        <v>45458</v>
      </c>
      <c r="J1395">
        <f t="shared" si="22"/>
        <v>10</v>
      </c>
    </row>
    <row r="1396" spans="1:10" x14ac:dyDescent="0.3">
      <c r="A1396">
        <v>6429.28</v>
      </c>
      <c r="B1396">
        <v>21.54</v>
      </c>
      <c r="G1396" t="s">
        <v>21</v>
      </c>
      <c r="H1396" s="1">
        <v>45536</v>
      </c>
      <c r="I1396" s="1">
        <v>45540</v>
      </c>
      <c r="J1396">
        <f t="shared" si="22"/>
        <v>4</v>
      </c>
    </row>
    <row r="1397" spans="1:10" x14ac:dyDescent="0.3">
      <c r="A1397">
        <v>2692.9</v>
      </c>
      <c r="B1397">
        <v>14.09</v>
      </c>
      <c r="G1397" t="s">
        <v>21</v>
      </c>
      <c r="H1397" s="1">
        <v>45556</v>
      </c>
      <c r="I1397" s="1">
        <v>45565</v>
      </c>
      <c r="J1397">
        <f t="shared" si="22"/>
        <v>9</v>
      </c>
    </row>
    <row r="1398" spans="1:10" x14ac:dyDescent="0.3">
      <c r="A1398">
        <v>1227.4760000000001</v>
      </c>
      <c r="B1398">
        <v>19.53</v>
      </c>
      <c r="G1398" t="s">
        <v>21</v>
      </c>
      <c r="H1398" s="1">
        <v>45668</v>
      </c>
      <c r="I1398" s="1">
        <v>45673</v>
      </c>
      <c r="J1398">
        <f t="shared" si="22"/>
        <v>5</v>
      </c>
    </row>
    <row r="1399" spans="1:10" x14ac:dyDescent="0.3">
      <c r="A1399">
        <v>5608.5974999999989</v>
      </c>
      <c r="B1399">
        <v>49.71</v>
      </c>
      <c r="G1399" t="s">
        <v>23</v>
      </c>
      <c r="H1399" s="1">
        <v>44930</v>
      </c>
      <c r="I1399" s="1">
        <v>44934</v>
      </c>
      <c r="J1399">
        <f t="shared" si="22"/>
        <v>4</v>
      </c>
    </row>
    <row r="1400" spans="1:10" x14ac:dyDescent="0.3">
      <c r="A1400">
        <v>7342.9679999999989</v>
      </c>
      <c r="B1400">
        <v>37.659999999999997</v>
      </c>
      <c r="G1400" t="s">
        <v>23</v>
      </c>
      <c r="H1400" s="1">
        <v>45048</v>
      </c>
      <c r="I1400" s="1">
        <v>45051</v>
      </c>
      <c r="J1400">
        <f t="shared" si="22"/>
        <v>3</v>
      </c>
    </row>
    <row r="1401" spans="1:10" x14ac:dyDescent="0.3">
      <c r="A1401">
        <v>302.65949999999998</v>
      </c>
      <c r="B1401">
        <v>22.95</v>
      </c>
      <c r="G1401" t="s">
        <v>19</v>
      </c>
      <c r="H1401" s="1">
        <v>45116</v>
      </c>
      <c r="I1401" s="1">
        <v>45121</v>
      </c>
      <c r="J1401">
        <f t="shared" si="22"/>
        <v>5</v>
      </c>
    </row>
    <row r="1402" spans="1:10" x14ac:dyDescent="0.3">
      <c r="A1402">
        <v>7396.0919999999996</v>
      </c>
      <c r="B1402">
        <v>34.19</v>
      </c>
      <c r="G1402" t="s">
        <v>19</v>
      </c>
      <c r="H1402" s="1">
        <v>45715</v>
      </c>
      <c r="I1402" s="1">
        <v>45720</v>
      </c>
      <c r="J1402">
        <f t="shared" si="22"/>
        <v>5</v>
      </c>
    </row>
    <row r="1403" spans="1:10" x14ac:dyDescent="0.3">
      <c r="A1403">
        <v>920.37149999999997</v>
      </c>
      <c r="B1403">
        <v>35.61</v>
      </c>
      <c r="G1403" t="s">
        <v>23</v>
      </c>
      <c r="H1403" s="1">
        <v>45558</v>
      </c>
      <c r="I1403" s="1">
        <v>45564</v>
      </c>
      <c r="J1403">
        <f t="shared" si="22"/>
        <v>6</v>
      </c>
    </row>
    <row r="1404" spans="1:10" x14ac:dyDescent="0.3">
      <c r="A1404">
        <v>1865.61</v>
      </c>
      <c r="B1404">
        <v>14.98</v>
      </c>
      <c r="G1404" t="s">
        <v>19</v>
      </c>
      <c r="H1404" s="1">
        <v>45830</v>
      </c>
      <c r="I1404" s="1">
        <v>45839</v>
      </c>
      <c r="J1404">
        <f t="shared" si="22"/>
        <v>9</v>
      </c>
    </row>
    <row r="1405" spans="1:10" x14ac:dyDescent="0.3">
      <c r="A1405">
        <v>272.16000000000003</v>
      </c>
      <c r="B1405">
        <v>18.72</v>
      </c>
      <c r="G1405" t="s">
        <v>22</v>
      </c>
      <c r="H1405" s="1">
        <v>45676</v>
      </c>
      <c r="I1405" s="1">
        <v>45685</v>
      </c>
      <c r="J1405">
        <f t="shared" si="22"/>
        <v>9</v>
      </c>
    </row>
    <row r="1406" spans="1:10" x14ac:dyDescent="0.3">
      <c r="A1406">
        <v>3467.915</v>
      </c>
      <c r="B1406">
        <v>49.59</v>
      </c>
      <c r="G1406" t="s">
        <v>19</v>
      </c>
      <c r="H1406" s="1">
        <v>45691</v>
      </c>
      <c r="I1406" s="1">
        <v>45696</v>
      </c>
      <c r="J1406">
        <f t="shared" si="22"/>
        <v>5</v>
      </c>
    </row>
    <row r="1407" spans="1:10" x14ac:dyDescent="0.3">
      <c r="A1407">
        <v>4121.5499999999993</v>
      </c>
      <c r="B1407">
        <v>19.37</v>
      </c>
      <c r="G1407" t="s">
        <v>19</v>
      </c>
      <c r="H1407" s="1">
        <v>45241</v>
      </c>
      <c r="I1407" s="1">
        <v>45247</v>
      </c>
      <c r="J1407">
        <f t="shared" si="22"/>
        <v>6</v>
      </c>
    </row>
    <row r="1408" spans="1:10" x14ac:dyDescent="0.3">
      <c r="A1408">
        <v>405.57749999999999</v>
      </c>
      <c r="B1408">
        <v>23.61</v>
      </c>
      <c r="G1408" t="s">
        <v>19</v>
      </c>
      <c r="H1408" s="1">
        <v>45420</v>
      </c>
      <c r="I1408" s="1">
        <v>45422</v>
      </c>
      <c r="J1408">
        <f t="shared" si="22"/>
        <v>2</v>
      </c>
    </row>
    <row r="1409" spans="1:10" x14ac:dyDescent="0.3">
      <c r="A1409">
        <v>3756.48</v>
      </c>
      <c r="B1409">
        <v>43.14</v>
      </c>
      <c r="G1409" t="s">
        <v>20</v>
      </c>
      <c r="H1409" s="1">
        <v>45187</v>
      </c>
      <c r="I1409" s="1">
        <v>45196</v>
      </c>
      <c r="J1409">
        <f t="shared" si="22"/>
        <v>9</v>
      </c>
    </row>
    <row r="1410" spans="1:10" x14ac:dyDescent="0.3">
      <c r="A1410">
        <v>6319.6659999999993</v>
      </c>
      <c r="B1410">
        <v>48.98</v>
      </c>
      <c r="G1410" t="s">
        <v>22</v>
      </c>
      <c r="H1410" s="1">
        <v>45752</v>
      </c>
      <c r="I1410" s="1">
        <v>45760</v>
      </c>
      <c r="J1410">
        <f t="shared" si="22"/>
        <v>8</v>
      </c>
    </row>
    <row r="1411" spans="1:10" x14ac:dyDescent="0.3">
      <c r="A1411">
        <v>2814.2325000000001</v>
      </c>
      <c r="B1411">
        <v>29.41</v>
      </c>
      <c r="G1411" t="s">
        <v>22</v>
      </c>
      <c r="H1411" s="1">
        <v>45182</v>
      </c>
      <c r="I1411" s="1">
        <v>45184</v>
      </c>
      <c r="J1411">
        <f t="shared" ref="J1411:J1474" si="23">I1411-H1411</f>
        <v>2</v>
      </c>
    </row>
    <row r="1412" spans="1:10" x14ac:dyDescent="0.3">
      <c r="A1412">
        <v>548.2165</v>
      </c>
      <c r="B1412">
        <v>22.97</v>
      </c>
      <c r="G1412" t="s">
        <v>19</v>
      </c>
      <c r="H1412" s="1">
        <v>45471</v>
      </c>
      <c r="I1412" s="1">
        <v>45479</v>
      </c>
      <c r="J1412">
        <f t="shared" si="23"/>
        <v>8</v>
      </c>
    </row>
    <row r="1413" spans="1:10" x14ac:dyDescent="0.3">
      <c r="A1413">
        <v>2939.382000000001</v>
      </c>
      <c r="B1413">
        <v>11.52</v>
      </c>
      <c r="G1413" t="s">
        <v>22</v>
      </c>
      <c r="H1413" s="1">
        <v>45022</v>
      </c>
      <c r="I1413" s="1">
        <v>45024</v>
      </c>
      <c r="J1413">
        <f t="shared" si="23"/>
        <v>2</v>
      </c>
    </row>
    <row r="1414" spans="1:10" x14ac:dyDescent="0.3">
      <c r="A1414">
        <v>5071.1849999999986</v>
      </c>
      <c r="B1414">
        <v>32.92</v>
      </c>
      <c r="G1414" t="s">
        <v>20</v>
      </c>
      <c r="H1414" s="1">
        <v>45059</v>
      </c>
      <c r="I1414" s="1">
        <v>45064</v>
      </c>
      <c r="J1414">
        <f t="shared" si="23"/>
        <v>5</v>
      </c>
    </row>
    <row r="1415" spans="1:10" x14ac:dyDescent="0.3">
      <c r="A1415">
        <v>379.13400000000001</v>
      </c>
      <c r="B1415">
        <v>36.340000000000003</v>
      </c>
      <c r="G1415" t="s">
        <v>19</v>
      </c>
      <c r="H1415" s="1">
        <v>45784</v>
      </c>
      <c r="I1415" s="1">
        <v>45792</v>
      </c>
      <c r="J1415">
        <f t="shared" si="23"/>
        <v>8</v>
      </c>
    </row>
    <row r="1416" spans="1:10" x14ac:dyDescent="0.3">
      <c r="A1416">
        <v>1998.0719999999999</v>
      </c>
      <c r="B1416">
        <v>45.25</v>
      </c>
      <c r="G1416" t="s">
        <v>21</v>
      </c>
      <c r="H1416" s="1">
        <v>45738</v>
      </c>
      <c r="I1416" s="1">
        <v>45743</v>
      </c>
      <c r="J1416">
        <f t="shared" si="23"/>
        <v>5</v>
      </c>
    </row>
    <row r="1417" spans="1:10" x14ac:dyDescent="0.3">
      <c r="A1417">
        <v>4826.57</v>
      </c>
      <c r="B1417">
        <v>11.21</v>
      </c>
      <c r="G1417" t="s">
        <v>20</v>
      </c>
      <c r="H1417" s="1">
        <v>45467</v>
      </c>
      <c r="I1417" s="1">
        <v>45475</v>
      </c>
      <c r="J1417">
        <f t="shared" si="23"/>
        <v>8</v>
      </c>
    </row>
    <row r="1418" spans="1:10" x14ac:dyDescent="0.3">
      <c r="A1418">
        <v>4084.5645</v>
      </c>
      <c r="B1418">
        <v>34.76</v>
      </c>
      <c r="G1418" t="s">
        <v>23</v>
      </c>
      <c r="H1418" s="1">
        <v>45837</v>
      </c>
      <c r="I1418" s="1">
        <v>45841</v>
      </c>
      <c r="J1418">
        <f t="shared" si="23"/>
        <v>4</v>
      </c>
    </row>
    <row r="1419" spans="1:10" x14ac:dyDescent="0.3">
      <c r="A1419">
        <v>1520.5050000000001</v>
      </c>
      <c r="B1419">
        <v>42.43</v>
      </c>
      <c r="G1419" t="s">
        <v>23</v>
      </c>
      <c r="H1419" s="1">
        <v>45383</v>
      </c>
      <c r="I1419" s="1">
        <v>45392</v>
      </c>
      <c r="J1419">
        <f t="shared" si="23"/>
        <v>9</v>
      </c>
    </row>
    <row r="1420" spans="1:10" x14ac:dyDescent="0.3">
      <c r="A1420">
        <v>1675.8665000000001</v>
      </c>
      <c r="B1420">
        <v>36.049999999999997</v>
      </c>
      <c r="G1420" t="s">
        <v>21</v>
      </c>
      <c r="H1420" s="1">
        <v>45447</v>
      </c>
      <c r="I1420" s="1">
        <v>45457</v>
      </c>
      <c r="J1420">
        <f t="shared" si="23"/>
        <v>10</v>
      </c>
    </row>
    <row r="1421" spans="1:10" x14ac:dyDescent="0.3">
      <c r="A1421">
        <v>377.19000000000011</v>
      </c>
      <c r="B1421">
        <v>38.81</v>
      </c>
      <c r="G1421" t="s">
        <v>19</v>
      </c>
      <c r="H1421" s="1">
        <v>45015</v>
      </c>
      <c r="I1421" s="1">
        <v>45022</v>
      </c>
      <c r="J1421">
        <f t="shared" si="23"/>
        <v>7</v>
      </c>
    </row>
    <row r="1422" spans="1:10" x14ac:dyDescent="0.3">
      <c r="A1422">
        <v>1532.856</v>
      </c>
      <c r="B1422">
        <v>17.89</v>
      </c>
      <c r="G1422" t="s">
        <v>19</v>
      </c>
      <c r="H1422" s="1">
        <v>45742</v>
      </c>
      <c r="I1422" s="1">
        <v>45744</v>
      </c>
      <c r="J1422">
        <f t="shared" si="23"/>
        <v>2</v>
      </c>
    </row>
    <row r="1423" spans="1:10" x14ac:dyDescent="0.3">
      <c r="A1423">
        <v>3688.32</v>
      </c>
      <c r="B1423">
        <v>13.62</v>
      </c>
      <c r="G1423" t="s">
        <v>23</v>
      </c>
      <c r="H1423" s="1">
        <v>45160</v>
      </c>
      <c r="I1423" s="1">
        <v>45162</v>
      </c>
      <c r="J1423">
        <f t="shared" si="23"/>
        <v>2</v>
      </c>
    </row>
    <row r="1424" spans="1:10" x14ac:dyDescent="0.3">
      <c r="A1424">
        <v>2673.3690000000001</v>
      </c>
      <c r="B1424">
        <v>31.04</v>
      </c>
      <c r="G1424" t="s">
        <v>20</v>
      </c>
      <c r="H1424" s="1">
        <v>45398</v>
      </c>
      <c r="I1424" s="1">
        <v>45402</v>
      </c>
      <c r="J1424">
        <f t="shared" si="23"/>
        <v>4</v>
      </c>
    </row>
    <row r="1425" spans="1:10" x14ac:dyDescent="0.3">
      <c r="A1425">
        <v>4395.0239999999994</v>
      </c>
      <c r="B1425">
        <v>33.369999999999997</v>
      </c>
      <c r="G1425" t="s">
        <v>22</v>
      </c>
      <c r="H1425" s="1">
        <v>45788</v>
      </c>
      <c r="I1425" s="1">
        <v>45796</v>
      </c>
      <c r="J1425">
        <f t="shared" si="23"/>
        <v>8</v>
      </c>
    </row>
    <row r="1426" spans="1:10" x14ac:dyDescent="0.3">
      <c r="A1426">
        <v>7019.36</v>
      </c>
      <c r="B1426">
        <v>6.53</v>
      </c>
      <c r="G1426" t="s">
        <v>21</v>
      </c>
      <c r="H1426" s="1">
        <v>45271</v>
      </c>
      <c r="I1426" s="1">
        <v>45281</v>
      </c>
      <c r="J1426">
        <f t="shared" si="23"/>
        <v>10</v>
      </c>
    </row>
    <row r="1427" spans="1:10" x14ac:dyDescent="0.3">
      <c r="A1427">
        <v>1745.64</v>
      </c>
      <c r="B1427">
        <v>41.3</v>
      </c>
      <c r="G1427" t="s">
        <v>21</v>
      </c>
      <c r="H1427" s="1">
        <v>44942</v>
      </c>
      <c r="I1427" s="1">
        <v>44947</v>
      </c>
      <c r="J1427">
        <f t="shared" si="23"/>
        <v>5</v>
      </c>
    </row>
    <row r="1428" spans="1:10" x14ac:dyDescent="0.3">
      <c r="A1428">
        <v>9925.1819999999989</v>
      </c>
      <c r="B1428">
        <v>37.81</v>
      </c>
      <c r="G1428" t="s">
        <v>19</v>
      </c>
      <c r="H1428" s="1">
        <v>45056</v>
      </c>
      <c r="I1428" s="1">
        <v>45063</v>
      </c>
      <c r="J1428">
        <f t="shared" si="23"/>
        <v>7</v>
      </c>
    </row>
    <row r="1429" spans="1:10" x14ac:dyDescent="0.3">
      <c r="A1429">
        <v>1483.11</v>
      </c>
      <c r="B1429">
        <v>32.54</v>
      </c>
      <c r="G1429" t="s">
        <v>22</v>
      </c>
      <c r="H1429" s="1">
        <v>45465</v>
      </c>
      <c r="I1429" s="1">
        <v>45472</v>
      </c>
      <c r="J1429">
        <f t="shared" si="23"/>
        <v>7</v>
      </c>
    </row>
    <row r="1430" spans="1:10" x14ac:dyDescent="0.3">
      <c r="A1430">
        <v>1331.2260000000001</v>
      </c>
      <c r="B1430">
        <v>28.07</v>
      </c>
      <c r="G1430" t="s">
        <v>23</v>
      </c>
      <c r="H1430" s="1">
        <v>45745</v>
      </c>
      <c r="I1430" s="1">
        <v>45754</v>
      </c>
      <c r="J1430">
        <f t="shared" si="23"/>
        <v>9</v>
      </c>
    </row>
    <row r="1431" spans="1:10" x14ac:dyDescent="0.3">
      <c r="A1431">
        <v>7646.56</v>
      </c>
      <c r="B1431">
        <v>21.89</v>
      </c>
      <c r="G1431" t="s">
        <v>21</v>
      </c>
      <c r="H1431" s="1">
        <v>45034</v>
      </c>
      <c r="I1431" s="1">
        <v>45039</v>
      </c>
      <c r="J1431">
        <f t="shared" si="23"/>
        <v>5</v>
      </c>
    </row>
    <row r="1432" spans="1:10" x14ac:dyDescent="0.3">
      <c r="A1432">
        <v>3860.5140000000001</v>
      </c>
      <c r="B1432">
        <v>38.729999999999997</v>
      </c>
      <c r="G1432" t="s">
        <v>22</v>
      </c>
      <c r="H1432" s="1">
        <v>44964</v>
      </c>
      <c r="I1432" s="1">
        <v>44966</v>
      </c>
      <c r="J1432">
        <f t="shared" si="23"/>
        <v>2</v>
      </c>
    </row>
    <row r="1433" spans="1:10" x14ac:dyDescent="0.3">
      <c r="A1433">
        <v>134.52950000000001</v>
      </c>
      <c r="B1433">
        <v>43.29</v>
      </c>
      <c r="G1433" t="s">
        <v>19</v>
      </c>
      <c r="H1433" s="1">
        <v>45679</v>
      </c>
      <c r="I1433" s="1">
        <v>45682</v>
      </c>
      <c r="J1433">
        <f t="shared" si="23"/>
        <v>3</v>
      </c>
    </row>
    <row r="1434" spans="1:10" x14ac:dyDescent="0.3">
      <c r="A1434">
        <v>1977.1020000000001</v>
      </c>
      <c r="B1434">
        <v>29.18</v>
      </c>
      <c r="G1434" t="s">
        <v>19</v>
      </c>
      <c r="H1434" s="1">
        <v>45111</v>
      </c>
      <c r="I1434" s="1">
        <v>45119</v>
      </c>
      <c r="J1434">
        <f t="shared" si="23"/>
        <v>8</v>
      </c>
    </row>
    <row r="1435" spans="1:10" x14ac:dyDescent="0.3">
      <c r="A1435">
        <v>2813.076</v>
      </c>
      <c r="B1435">
        <v>12.88</v>
      </c>
      <c r="G1435" t="s">
        <v>22</v>
      </c>
      <c r="H1435" s="1">
        <v>45138</v>
      </c>
      <c r="I1435" s="1">
        <v>45141</v>
      </c>
      <c r="J1435">
        <f t="shared" si="23"/>
        <v>3</v>
      </c>
    </row>
    <row r="1436" spans="1:10" x14ac:dyDescent="0.3">
      <c r="A1436">
        <v>3174.6</v>
      </c>
      <c r="B1436">
        <v>5.13</v>
      </c>
      <c r="G1436" t="s">
        <v>21</v>
      </c>
      <c r="H1436" s="1">
        <v>45036</v>
      </c>
      <c r="I1436" s="1">
        <v>45043</v>
      </c>
      <c r="J1436">
        <f t="shared" si="23"/>
        <v>7</v>
      </c>
    </row>
    <row r="1437" spans="1:10" x14ac:dyDescent="0.3">
      <c r="A1437">
        <v>963.66600000000005</v>
      </c>
      <c r="B1437">
        <v>10.61</v>
      </c>
      <c r="G1437" t="s">
        <v>22</v>
      </c>
      <c r="H1437" s="1">
        <v>45573</v>
      </c>
      <c r="I1437" s="1">
        <v>45576</v>
      </c>
      <c r="J1437">
        <f t="shared" si="23"/>
        <v>3</v>
      </c>
    </row>
    <row r="1438" spans="1:10" x14ac:dyDescent="0.3">
      <c r="A1438">
        <v>4186.6109999999999</v>
      </c>
      <c r="B1438">
        <v>45.89</v>
      </c>
      <c r="G1438" t="s">
        <v>19</v>
      </c>
      <c r="H1438" s="1">
        <v>45316</v>
      </c>
      <c r="I1438" s="1">
        <v>45318</v>
      </c>
      <c r="J1438">
        <f t="shared" si="23"/>
        <v>2</v>
      </c>
    </row>
    <row r="1439" spans="1:10" x14ac:dyDescent="0.3">
      <c r="A1439">
        <v>2117.2460000000001</v>
      </c>
      <c r="B1439">
        <v>32.159999999999997</v>
      </c>
      <c r="G1439" t="s">
        <v>20</v>
      </c>
      <c r="H1439" s="1">
        <v>45642</v>
      </c>
      <c r="I1439" s="1">
        <v>45651</v>
      </c>
      <c r="J1439">
        <f t="shared" si="23"/>
        <v>9</v>
      </c>
    </row>
    <row r="1440" spans="1:10" x14ac:dyDescent="0.3">
      <c r="A1440">
        <v>3723.165</v>
      </c>
      <c r="B1440">
        <v>22.24</v>
      </c>
      <c r="G1440" t="s">
        <v>22</v>
      </c>
      <c r="H1440" s="1">
        <v>45589</v>
      </c>
      <c r="I1440" s="1">
        <v>45597</v>
      </c>
      <c r="J1440">
        <f t="shared" si="23"/>
        <v>8</v>
      </c>
    </row>
    <row r="1441" spans="1:10" x14ac:dyDescent="0.3">
      <c r="A1441">
        <v>3552.12</v>
      </c>
      <c r="B1441">
        <v>12.86</v>
      </c>
      <c r="G1441" t="s">
        <v>23</v>
      </c>
      <c r="H1441" s="1">
        <v>45246</v>
      </c>
      <c r="I1441" s="1">
        <v>45250</v>
      </c>
      <c r="J1441">
        <f t="shared" si="23"/>
        <v>4</v>
      </c>
    </row>
    <row r="1442" spans="1:10" x14ac:dyDescent="0.3">
      <c r="A1442">
        <v>5571.67</v>
      </c>
      <c r="B1442">
        <v>23.89</v>
      </c>
      <c r="G1442" t="s">
        <v>20</v>
      </c>
      <c r="H1442" s="1">
        <v>45382</v>
      </c>
      <c r="I1442" s="1">
        <v>45390</v>
      </c>
      <c r="J1442">
        <f t="shared" si="23"/>
        <v>8</v>
      </c>
    </row>
    <row r="1443" spans="1:10" x14ac:dyDescent="0.3">
      <c r="A1443">
        <v>1610.0315000000001</v>
      </c>
      <c r="B1443">
        <v>47.19</v>
      </c>
      <c r="G1443" t="s">
        <v>19</v>
      </c>
      <c r="H1443" s="1">
        <v>44970</v>
      </c>
      <c r="I1443" s="1">
        <v>44975</v>
      </c>
      <c r="J1443">
        <f t="shared" si="23"/>
        <v>5</v>
      </c>
    </row>
    <row r="1444" spans="1:10" x14ac:dyDescent="0.3">
      <c r="A1444">
        <v>7709.6869999999999</v>
      </c>
      <c r="B1444">
        <v>35.28</v>
      </c>
      <c r="G1444" t="s">
        <v>20</v>
      </c>
      <c r="H1444" s="1">
        <v>45189</v>
      </c>
      <c r="I1444" s="1">
        <v>45196</v>
      </c>
      <c r="J1444">
        <f t="shared" si="23"/>
        <v>7</v>
      </c>
    </row>
    <row r="1445" spans="1:10" x14ac:dyDescent="0.3">
      <c r="A1445">
        <v>745.56000000000006</v>
      </c>
      <c r="B1445">
        <v>42.11</v>
      </c>
      <c r="G1445" t="s">
        <v>20</v>
      </c>
      <c r="H1445" s="1">
        <v>45104</v>
      </c>
      <c r="I1445" s="1">
        <v>45114</v>
      </c>
      <c r="J1445">
        <f t="shared" si="23"/>
        <v>10</v>
      </c>
    </row>
    <row r="1446" spans="1:10" x14ac:dyDescent="0.3">
      <c r="A1446">
        <v>2372.34</v>
      </c>
      <c r="B1446">
        <v>44.14</v>
      </c>
      <c r="G1446" t="s">
        <v>22</v>
      </c>
      <c r="H1446" s="1">
        <v>45749</v>
      </c>
      <c r="I1446" s="1">
        <v>45753</v>
      </c>
      <c r="J1446">
        <f t="shared" si="23"/>
        <v>4</v>
      </c>
    </row>
    <row r="1447" spans="1:10" x14ac:dyDescent="0.3">
      <c r="A1447">
        <v>1494.9</v>
      </c>
      <c r="B1447">
        <v>27.55</v>
      </c>
      <c r="G1447" t="s">
        <v>21</v>
      </c>
      <c r="H1447" s="1">
        <v>45763</v>
      </c>
      <c r="I1447" s="1">
        <v>45773</v>
      </c>
      <c r="J1447">
        <f t="shared" si="23"/>
        <v>10</v>
      </c>
    </row>
    <row r="1448" spans="1:10" x14ac:dyDescent="0.3">
      <c r="A1448">
        <v>755.61599999999999</v>
      </c>
      <c r="B1448">
        <v>17.809999999999999</v>
      </c>
      <c r="G1448" t="s">
        <v>22</v>
      </c>
      <c r="H1448" s="1">
        <v>45482</v>
      </c>
      <c r="I1448" s="1">
        <v>45490</v>
      </c>
      <c r="J1448">
        <f t="shared" si="23"/>
        <v>8</v>
      </c>
    </row>
    <row r="1449" spans="1:10" x14ac:dyDescent="0.3">
      <c r="A1449">
        <v>4625.9299999999994</v>
      </c>
      <c r="B1449">
        <v>32.28</v>
      </c>
      <c r="G1449" t="s">
        <v>19</v>
      </c>
      <c r="H1449" s="1">
        <v>45831</v>
      </c>
      <c r="I1449" s="1">
        <v>45841</v>
      </c>
      <c r="J1449">
        <f t="shared" si="23"/>
        <v>10</v>
      </c>
    </row>
    <row r="1450" spans="1:10" x14ac:dyDescent="0.3">
      <c r="A1450">
        <v>1837.3409999999999</v>
      </c>
      <c r="B1450">
        <v>45.19</v>
      </c>
      <c r="G1450" t="s">
        <v>19</v>
      </c>
      <c r="H1450" s="1">
        <v>45452</v>
      </c>
      <c r="I1450" s="1">
        <v>45461</v>
      </c>
      <c r="J1450">
        <f t="shared" si="23"/>
        <v>9</v>
      </c>
    </row>
    <row r="1451" spans="1:10" x14ac:dyDescent="0.3">
      <c r="A1451">
        <v>3630.1210000000001</v>
      </c>
      <c r="B1451">
        <v>24.8</v>
      </c>
      <c r="G1451" t="s">
        <v>22</v>
      </c>
      <c r="H1451" s="1">
        <v>45261</v>
      </c>
      <c r="I1451" s="1">
        <v>45263</v>
      </c>
      <c r="J1451">
        <f t="shared" si="23"/>
        <v>2</v>
      </c>
    </row>
    <row r="1452" spans="1:10" x14ac:dyDescent="0.3">
      <c r="A1452">
        <v>4531.9274999999998</v>
      </c>
      <c r="B1452">
        <v>24.38</v>
      </c>
      <c r="G1452" t="s">
        <v>23</v>
      </c>
      <c r="H1452" s="1">
        <v>45497</v>
      </c>
      <c r="I1452" s="1">
        <v>45503</v>
      </c>
      <c r="J1452">
        <f t="shared" si="23"/>
        <v>6</v>
      </c>
    </row>
    <row r="1453" spans="1:10" x14ac:dyDescent="0.3">
      <c r="A1453">
        <v>3089.9625000000001</v>
      </c>
      <c r="B1453">
        <v>14.92</v>
      </c>
      <c r="G1453" t="s">
        <v>23</v>
      </c>
      <c r="H1453" s="1">
        <v>45028</v>
      </c>
      <c r="I1453" s="1">
        <v>45035</v>
      </c>
      <c r="J1453">
        <f t="shared" si="23"/>
        <v>7</v>
      </c>
    </row>
    <row r="1454" spans="1:10" x14ac:dyDescent="0.3">
      <c r="A1454">
        <v>209.3295</v>
      </c>
      <c r="B1454">
        <v>12.63</v>
      </c>
      <c r="G1454" t="s">
        <v>21</v>
      </c>
      <c r="H1454" s="1">
        <v>45643</v>
      </c>
      <c r="I1454" s="1">
        <v>45652</v>
      </c>
      <c r="J1454">
        <f t="shared" si="23"/>
        <v>9</v>
      </c>
    </row>
    <row r="1455" spans="1:10" x14ac:dyDescent="0.3">
      <c r="A1455">
        <v>2428.7049999999999</v>
      </c>
      <c r="B1455">
        <v>26.68</v>
      </c>
      <c r="G1455" t="s">
        <v>20</v>
      </c>
      <c r="H1455" s="1">
        <v>45512</v>
      </c>
      <c r="I1455" s="1">
        <v>45518</v>
      </c>
      <c r="J1455">
        <f t="shared" si="23"/>
        <v>6</v>
      </c>
    </row>
    <row r="1456" spans="1:10" x14ac:dyDescent="0.3">
      <c r="A1456">
        <v>5225.2560000000003</v>
      </c>
      <c r="B1456">
        <v>16.670000000000002</v>
      </c>
      <c r="G1456" t="s">
        <v>19</v>
      </c>
      <c r="H1456" s="1">
        <v>45550</v>
      </c>
      <c r="I1456" s="1">
        <v>45557</v>
      </c>
      <c r="J1456">
        <f t="shared" si="23"/>
        <v>7</v>
      </c>
    </row>
    <row r="1457" spans="1:10" x14ac:dyDescent="0.3">
      <c r="A1457">
        <v>2726.64</v>
      </c>
      <c r="B1457">
        <v>40.74</v>
      </c>
      <c r="G1457" t="s">
        <v>20</v>
      </c>
      <c r="H1457" s="1">
        <v>45207</v>
      </c>
      <c r="I1457" s="1">
        <v>45209</v>
      </c>
      <c r="J1457">
        <f t="shared" si="23"/>
        <v>2</v>
      </c>
    </row>
    <row r="1458" spans="1:10" x14ac:dyDescent="0.3">
      <c r="A1458">
        <v>3151.9360000000001</v>
      </c>
      <c r="B1458">
        <v>9.42</v>
      </c>
      <c r="G1458" t="s">
        <v>20</v>
      </c>
      <c r="H1458" s="1">
        <v>45800</v>
      </c>
      <c r="I1458" s="1">
        <v>45804</v>
      </c>
      <c r="J1458">
        <f t="shared" si="23"/>
        <v>4</v>
      </c>
    </row>
    <row r="1459" spans="1:10" x14ac:dyDescent="0.3">
      <c r="A1459">
        <v>365.74650000000003</v>
      </c>
      <c r="B1459">
        <v>14.44</v>
      </c>
      <c r="G1459" t="s">
        <v>20</v>
      </c>
      <c r="H1459" s="1">
        <v>44928</v>
      </c>
      <c r="I1459" s="1">
        <v>44938</v>
      </c>
      <c r="J1459">
        <f t="shared" si="23"/>
        <v>10</v>
      </c>
    </row>
    <row r="1460" spans="1:10" x14ac:dyDescent="0.3">
      <c r="A1460">
        <v>6516.6</v>
      </c>
      <c r="B1460">
        <v>33.86</v>
      </c>
      <c r="G1460" t="s">
        <v>21</v>
      </c>
      <c r="H1460" s="1">
        <v>45218</v>
      </c>
      <c r="I1460" s="1">
        <v>45227</v>
      </c>
      <c r="J1460">
        <f t="shared" si="23"/>
        <v>9</v>
      </c>
    </row>
    <row r="1461" spans="1:10" x14ac:dyDescent="0.3">
      <c r="A1461">
        <v>7744.16</v>
      </c>
      <c r="B1461">
        <v>9.65</v>
      </c>
      <c r="G1461" t="s">
        <v>23</v>
      </c>
      <c r="H1461" s="1">
        <v>45772</v>
      </c>
      <c r="I1461" s="1">
        <v>45778</v>
      </c>
      <c r="J1461">
        <f t="shared" si="23"/>
        <v>6</v>
      </c>
    </row>
    <row r="1462" spans="1:10" x14ac:dyDescent="0.3">
      <c r="A1462">
        <v>110.16</v>
      </c>
      <c r="B1462">
        <v>9.85</v>
      </c>
      <c r="G1462" t="s">
        <v>22</v>
      </c>
      <c r="H1462" s="1">
        <v>45382</v>
      </c>
      <c r="I1462" s="1">
        <v>45386</v>
      </c>
      <c r="J1462">
        <f t="shared" si="23"/>
        <v>4</v>
      </c>
    </row>
    <row r="1463" spans="1:10" x14ac:dyDescent="0.3">
      <c r="A1463">
        <v>2469.0120000000002</v>
      </c>
      <c r="B1463">
        <v>38.46</v>
      </c>
      <c r="G1463" t="s">
        <v>21</v>
      </c>
      <c r="H1463" s="1">
        <v>45688</v>
      </c>
      <c r="I1463" s="1">
        <v>45695</v>
      </c>
      <c r="J1463">
        <f t="shared" si="23"/>
        <v>7</v>
      </c>
    </row>
    <row r="1464" spans="1:10" x14ac:dyDescent="0.3">
      <c r="A1464">
        <v>5727.4359999999997</v>
      </c>
      <c r="B1464">
        <v>25.82</v>
      </c>
      <c r="G1464" t="s">
        <v>19</v>
      </c>
      <c r="H1464" s="1">
        <v>45743</v>
      </c>
      <c r="I1464" s="1">
        <v>45753</v>
      </c>
      <c r="J1464">
        <f t="shared" si="23"/>
        <v>10</v>
      </c>
    </row>
    <row r="1465" spans="1:10" x14ac:dyDescent="0.3">
      <c r="A1465">
        <v>1470.04</v>
      </c>
      <c r="B1465">
        <v>30.18</v>
      </c>
      <c r="G1465" t="s">
        <v>22</v>
      </c>
      <c r="H1465" s="1">
        <v>45676</v>
      </c>
      <c r="I1465" s="1">
        <v>45681</v>
      </c>
      <c r="J1465">
        <f t="shared" si="23"/>
        <v>5</v>
      </c>
    </row>
    <row r="1466" spans="1:10" x14ac:dyDescent="0.3">
      <c r="A1466">
        <v>6307.3350000000009</v>
      </c>
      <c r="B1466">
        <v>35.369999999999997</v>
      </c>
      <c r="G1466" t="s">
        <v>21</v>
      </c>
      <c r="H1466" s="1">
        <v>45428</v>
      </c>
      <c r="I1466" s="1">
        <v>45433</v>
      </c>
      <c r="J1466">
        <f t="shared" si="23"/>
        <v>5</v>
      </c>
    </row>
    <row r="1467" spans="1:10" x14ac:dyDescent="0.3">
      <c r="A1467">
        <v>1623.72</v>
      </c>
      <c r="B1467">
        <v>31.85</v>
      </c>
      <c r="G1467" t="s">
        <v>22</v>
      </c>
      <c r="H1467" s="1">
        <v>45173</v>
      </c>
      <c r="I1467" s="1">
        <v>45175</v>
      </c>
      <c r="J1467">
        <f t="shared" si="23"/>
        <v>2</v>
      </c>
    </row>
    <row r="1468" spans="1:10" x14ac:dyDescent="0.3">
      <c r="A1468">
        <v>421.05599999999998</v>
      </c>
      <c r="B1468">
        <v>31.09</v>
      </c>
      <c r="G1468" t="s">
        <v>20</v>
      </c>
      <c r="H1468" s="1">
        <v>45277</v>
      </c>
      <c r="I1468" s="1">
        <v>45283</v>
      </c>
      <c r="J1468">
        <f t="shared" si="23"/>
        <v>6</v>
      </c>
    </row>
    <row r="1469" spans="1:10" x14ac:dyDescent="0.3">
      <c r="A1469">
        <v>606.25199999999995</v>
      </c>
      <c r="B1469">
        <v>32.36</v>
      </c>
      <c r="G1469" t="s">
        <v>22</v>
      </c>
      <c r="H1469" s="1">
        <v>45306</v>
      </c>
      <c r="I1469" s="1">
        <v>45312</v>
      </c>
      <c r="J1469">
        <f t="shared" si="23"/>
        <v>6</v>
      </c>
    </row>
    <row r="1470" spans="1:10" x14ac:dyDescent="0.3">
      <c r="A1470">
        <v>2252.25</v>
      </c>
      <c r="B1470">
        <v>35.94</v>
      </c>
      <c r="G1470" t="s">
        <v>22</v>
      </c>
      <c r="H1470" s="1">
        <v>45645</v>
      </c>
      <c r="I1470" s="1">
        <v>45655</v>
      </c>
      <c r="J1470">
        <f t="shared" si="23"/>
        <v>10</v>
      </c>
    </row>
    <row r="1471" spans="1:10" x14ac:dyDescent="0.3">
      <c r="A1471">
        <v>521.37</v>
      </c>
      <c r="B1471">
        <v>28.73</v>
      </c>
      <c r="G1471" t="s">
        <v>21</v>
      </c>
      <c r="H1471" s="1">
        <v>45276</v>
      </c>
      <c r="I1471" s="1">
        <v>45278</v>
      </c>
      <c r="J1471">
        <f t="shared" si="23"/>
        <v>2</v>
      </c>
    </row>
    <row r="1472" spans="1:10" x14ac:dyDescent="0.3">
      <c r="A1472">
        <v>1666.604</v>
      </c>
      <c r="B1472">
        <v>5.0999999999999996</v>
      </c>
      <c r="G1472" t="s">
        <v>22</v>
      </c>
      <c r="H1472" s="1">
        <v>45791</v>
      </c>
      <c r="I1472" s="1">
        <v>45795</v>
      </c>
      <c r="J1472">
        <f t="shared" si="23"/>
        <v>4</v>
      </c>
    </row>
    <row r="1473" spans="1:10" x14ac:dyDescent="0.3">
      <c r="A1473">
        <v>3217.44</v>
      </c>
      <c r="B1473">
        <v>35.32</v>
      </c>
      <c r="G1473" t="s">
        <v>20</v>
      </c>
      <c r="H1473" s="1">
        <v>45107</v>
      </c>
      <c r="I1473" s="1">
        <v>45109</v>
      </c>
      <c r="J1473">
        <f t="shared" si="23"/>
        <v>2</v>
      </c>
    </row>
    <row r="1474" spans="1:10" x14ac:dyDescent="0.3">
      <c r="A1474">
        <v>8005.86</v>
      </c>
      <c r="B1474">
        <v>20.05</v>
      </c>
      <c r="G1474" t="s">
        <v>20</v>
      </c>
      <c r="H1474" s="1">
        <v>45838</v>
      </c>
      <c r="I1474" s="1">
        <v>45845</v>
      </c>
      <c r="J1474">
        <f t="shared" si="23"/>
        <v>7</v>
      </c>
    </row>
    <row r="1475" spans="1:10" x14ac:dyDescent="0.3">
      <c r="A1475">
        <v>1802.85</v>
      </c>
      <c r="B1475">
        <v>47.93</v>
      </c>
      <c r="G1475" t="s">
        <v>22</v>
      </c>
      <c r="H1475" s="1">
        <v>45730</v>
      </c>
      <c r="I1475" s="1">
        <v>45738</v>
      </c>
      <c r="J1475">
        <f t="shared" ref="J1475:J1501" si="24">I1475-H1475</f>
        <v>8</v>
      </c>
    </row>
    <row r="1476" spans="1:10" x14ac:dyDescent="0.3">
      <c r="A1476">
        <v>3897.2159999999999</v>
      </c>
      <c r="B1476">
        <v>13</v>
      </c>
      <c r="G1476" t="s">
        <v>20</v>
      </c>
      <c r="H1476" s="1">
        <v>45034</v>
      </c>
      <c r="I1476" s="1">
        <v>45043</v>
      </c>
      <c r="J1476">
        <f t="shared" si="24"/>
        <v>9</v>
      </c>
    </row>
    <row r="1477" spans="1:10" x14ac:dyDescent="0.3">
      <c r="A1477">
        <v>1605.9559999999999</v>
      </c>
      <c r="B1477">
        <v>22.88</v>
      </c>
      <c r="G1477" t="s">
        <v>23</v>
      </c>
      <c r="H1477" s="1">
        <v>45546</v>
      </c>
      <c r="I1477" s="1">
        <v>45554</v>
      </c>
      <c r="J1477">
        <f t="shared" si="24"/>
        <v>8</v>
      </c>
    </row>
    <row r="1478" spans="1:10" x14ac:dyDescent="0.3">
      <c r="A1478">
        <v>147.4</v>
      </c>
      <c r="B1478">
        <v>40.47</v>
      </c>
      <c r="G1478" t="s">
        <v>22</v>
      </c>
      <c r="H1478" s="1">
        <v>45251</v>
      </c>
      <c r="I1478" s="1">
        <v>45258</v>
      </c>
      <c r="J1478">
        <f t="shared" si="24"/>
        <v>7</v>
      </c>
    </row>
    <row r="1479" spans="1:10" x14ac:dyDescent="0.3">
      <c r="A1479">
        <v>2126.0239999999999</v>
      </c>
      <c r="B1479">
        <v>33.1</v>
      </c>
      <c r="G1479" t="s">
        <v>23</v>
      </c>
      <c r="H1479" s="1">
        <v>45351</v>
      </c>
      <c r="I1479" s="1">
        <v>45358</v>
      </c>
      <c r="J1479">
        <f t="shared" si="24"/>
        <v>7</v>
      </c>
    </row>
    <row r="1480" spans="1:10" x14ac:dyDescent="0.3">
      <c r="A1480">
        <v>868.13850000000002</v>
      </c>
      <c r="B1480">
        <v>47.14</v>
      </c>
      <c r="G1480" t="s">
        <v>23</v>
      </c>
      <c r="H1480" s="1">
        <v>45057</v>
      </c>
      <c r="I1480" s="1">
        <v>45061</v>
      </c>
      <c r="J1480">
        <f t="shared" si="24"/>
        <v>4</v>
      </c>
    </row>
    <row r="1481" spans="1:10" x14ac:dyDescent="0.3">
      <c r="A1481">
        <v>2144.88</v>
      </c>
      <c r="B1481">
        <v>8.5</v>
      </c>
      <c r="G1481" t="s">
        <v>20</v>
      </c>
      <c r="H1481" s="1">
        <v>45546</v>
      </c>
      <c r="I1481" s="1">
        <v>45555</v>
      </c>
      <c r="J1481">
        <f t="shared" si="24"/>
        <v>9</v>
      </c>
    </row>
    <row r="1482" spans="1:10" x14ac:dyDescent="0.3">
      <c r="A1482">
        <v>6960.5280000000002</v>
      </c>
      <c r="B1482">
        <v>42.52</v>
      </c>
      <c r="G1482" t="s">
        <v>23</v>
      </c>
      <c r="H1482" s="1">
        <v>45520</v>
      </c>
      <c r="I1482" s="1">
        <v>45526</v>
      </c>
      <c r="J1482">
        <f t="shared" si="24"/>
        <v>6</v>
      </c>
    </row>
    <row r="1483" spans="1:10" x14ac:dyDescent="0.3">
      <c r="A1483">
        <v>909.32100000000003</v>
      </c>
      <c r="B1483">
        <v>48.6</v>
      </c>
      <c r="G1483" t="s">
        <v>21</v>
      </c>
      <c r="H1483" s="1">
        <v>45807</v>
      </c>
      <c r="I1483" s="1">
        <v>45815</v>
      </c>
      <c r="J1483">
        <f t="shared" si="24"/>
        <v>8</v>
      </c>
    </row>
    <row r="1484" spans="1:10" x14ac:dyDescent="0.3">
      <c r="A1484">
        <v>4798.26</v>
      </c>
      <c r="B1484">
        <v>35.94</v>
      </c>
      <c r="G1484" t="s">
        <v>19</v>
      </c>
      <c r="H1484" s="1">
        <v>45160</v>
      </c>
      <c r="I1484" s="1">
        <v>45166</v>
      </c>
      <c r="J1484">
        <f t="shared" si="24"/>
        <v>6</v>
      </c>
    </row>
    <row r="1485" spans="1:10" x14ac:dyDescent="0.3">
      <c r="A1485">
        <v>740.96199999999999</v>
      </c>
      <c r="B1485">
        <v>24.55</v>
      </c>
      <c r="G1485" t="s">
        <v>19</v>
      </c>
      <c r="H1485" s="1">
        <v>45314</v>
      </c>
      <c r="I1485" s="1">
        <v>45316</v>
      </c>
      <c r="J1485">
        <f t="shared" si="24"/>
        <v>2</v>
      </c>
    </row>
    <row r="1486" spans="1:10" x14ac:dyDescent="0.3">
      <c r="A1486">
        <v>7012.585</v>
      </c>
      <c r="B1486">
        <v>37.94</v>
      </c>
      <c r="G1486" t="s">
        <v>21</v>
      </c>
      <c r="H1486" s="1">
        <v>45001</v>
      </c>
      <c r="I1486" s="1">
        <v>45008</v>
      </c>
      <c r="J1486">
        <f t="shared" si="24"/>
        <v>7</v>
      </c>
    </row>
    <row r="1487" spans="1:10" x14ac:dyDescent="0.3">
      <c r="A1487">
        <v>1888.96</v>
      </c>
      <c r="B1487">
        <v>6.78</v>
      </c>
      <c r="G1487" t="s">
        <v>20</v>
      </c>
      <c r="H1487" s="1">
        <v>45793</v>
      </c>
      <c r="I1487" s="1">
        <v>45798</v>
      </c>
      <c r="J1487">
        <f t="shared" si="24"/>
        <v>5</v>
      </c>
    </row>
    <row r="1488" spans="1:10" x14ac:dyDescent="0.3">
      <c r="A1488">
        <v>1148.24</v>
      </c>
      <c r="B1488">
        <v>9.1</v>
      </c>
      <c r="G1488" t="s">
        <v>19</v>
      </c>
      <c r="H1488" s="1">
        <v>45069</v>
      </c>
      <c r="I1488" s="1">
        <v>45075</v>
      </c>
      <c r="J1488">
        <f t="shared" si="24"/>
        <v>6</v>
      </c>
    </row>
    <row r="1489" spans="1:10" x14ac:dyDescent="0.3">
      <c r="A1489">
        <v>799.59999999999991</v>
      </c>
      <c r="B1489">
        <v>10.86</v>
      </c>
      <c r="G1489" t="s">
        <v>21</v>
      </c>
      <c r="H1489" s="1">
        <v>45459</v>
      </c>
      <c r="I1489" s="1">
        <v>45466</v>
      </c>
      <c r="J1489">
        <f t="shared" si="24"/>
        <v>7</v>
      </c>
    </row>
    <row r="1490" spans="1:10" x14ac:dyDescent="0.3">
      <c r="A1490">
        <v>5524.6489999999994</v>
      </c>
      <c r="B1490">
        <v>38.93</v>
      </c>
      <c r="G1490" t="s">
        <v>22</v>
      </c>
      <c r="H1490" s="1">
        <v>45685</v>
      </c>
      <c r="I1490" s="1">
        <v>45692</v>
      </c>
      <c r="J1490">
        <f t="shared" si="24"/>
        <v>7</v>
      </c>
    </row>
    <row r="1491" spans="1:10" x14ac:dyDescent="0.3">
      <c r="A1491">
        <v>2302.56</v>
      </c>
      <c r="B1491">
        <v>10.119999999999999</v>
      </c>
      <c r="G1491" t="s">
        <v>20</v>
      </c>
      <c r="H1491" s="1">
        <v>45623</v>
      </c>
      <c r="I1491" s="1">
        <v>45633</v>
      </c>
      <c r="J1491">
        <f t="shared" si="24"/>
        <v>10</v>
      </c>
    </row>
    <row r="1492" spans="1:10" x14ac:dyDescent="0.3">
      <c r="A1492">
        <v>1311.6869999999999</v>
      </c>
      <c r="B1492">
        <v>19.46</v>
      </c>
      <c r="G1492" t="s">
        <v>22</v>
      </c>
      <c r="H1492" s="1">
        <v>45208</v>
      </c>
      <c r="I1492" s="1">
        <v>45210</v>
      </c>
      <c r="J1492">
        <f t="shared" si="24"/>
        <v>2</v>
      </c>
    </row>
    <row r="1493" spans="1:10" x14ac:dyDescent="0.3">
      <c r="A1493">
        <v>2791.0239999999999</v>
      </c>
      <c r="B1493">
        <v>6.56</v>
      </c>
      <c r="G1493" t="s">
        <v>23</v>
      </c>
      <c r="H1493" s="1">
        <v>45494</v>
      </c>
      <c r="I1493" s="1">
        <v>45504</v>
      </c>
      <c r="J1493">
        <f t="shared" si="24"/>
        <v>10</v>
      </c>
    </row>
    <row r="1494" spans="1:10" x14ac:dyDescent="0.3">
      <c r="A1494">
        <v>708.83299999999997</v>
      </c>
      <c r="B1494">
        <v>26.9</v>
      </c>
      <c r="G1494" t="s">
        <v>19</v>
      </c>
      <c r="H1494" s="1">
        <v>45476</v>
      </c>
      <c r="I1494" s="1">
        <v>45480</v>
      </c>
      <c r="J1494">
        <f t="shared" si="24"/>
        <v>4</v>
      </c>
    </row>
    <row r="1495" spans="1:10" x14ac:dyDescent="0.3">
      <c r="A1495">
        <v>8970.56</v>
      </c>
      <c r="B1495">
        <v>29.19</v>
      </c>
      <c r="G1495" t="s">
        <v>23</v>
      </c>
      <c r="H1495" s="1">
        <v>45559</v>
      </c>
      <c r="I1495" s="1">
        <v>45567</v>
      </c>
      <c r="J1495">
        <f t="shared" si="24"/>
        <v>8</v>
      </c>
    </row>
    <row r="1496" spans="1:10" x14ac:dyDescent="0.3">
      <c r="A1496">
        <v>1006.45</v>
      </c>
      <c r="B1496">
        <v>49.13</v>
      </c>
      <c r="G1496" t="s">
        <v>19</v>
      </c>
      <c r="H1496" s="1">
        <v>45671</v>
      </c>
      <c r="I1496" s="1">
        <v>45678</v>
      </c>
      <c r="J1496">
        <f t="shared" si="24"/>
        <v>7</v>
      </c>
    </row>
    <row r="1497" spans="1:10" x14ac:dyDescent="0.3">
      <c r="A1497">
        <v>1661.816</v>
      </c>
      <c r="B1497">
        <v>35.630000000000003</v>
      </c>
      <c r="G1497" t="s">
        <v>23</v>
      </c>
      <c r="H1497" s="1">
        <v>45705</v>
      </c>
      <c r="I1497" s="1">
        <v>45710</v>
      </c>
      <c r="J1497">
        <f t="shared" si="24"/>
        <v>5</v>
      </c>
    </row>
    <row r="1498" spans="1:10" x14ac:dyDescent="0.3">
      <c r="A1498">
        <v>3209.1750000000002</v>
      </c>
      <c r="B1498">
        <v>45.93</v>
      </c>
      <c r="G1498" t="s">
        <v>20</v>
      </c>
      <c r="H1498" s="1">
        <v>45302</v>
      </c>
      <c r="I1498" s="1">
        <v>45308</v>
      </c>
      <c r="J1498">
        <f t="shared" si="24"/>
        <v>6</v>
      </c>
    </row>
    <row r="1499" spans="1:10" x14ac:dyDescent="0.3">
      <c r="A1499">
        <v>272.5</v>
      </c>
      <c r="B1499">
        <v>35.56</v>
      </c>
      <c r="G1499" t="s">
        <v>19</v>
      </c>
      <c r="H1499" s="1">
        <v>45500</v>
      </c>
      <c r="I1499" s="1">
        <v>45507</v>
      </c>
      <c r="J1499">
        <f t="shared" si="24"/>
        <v>7</v>
      </c>
    </row>
    <row r="1500" spans="1:10" x14ac:dyDescent="0.3">
      <c r="A1500">
        <v>3493.511</v>
      </c>
      <c r="B1500">
        <v>24.53</v>
      </c>
      <c r="G1500" t="s">
        <v>22</v>
      </c>
      <c r="H1500" s="1">
        <v>45629</v>
      </c>
      <c r="I1500" s="1">
        <v>45636</v>
      </c>
      <c r="J1500">
        <f t="shared" si="24"/>
        <v>7</v>
      </c>
    </row>
    <row r="1501" spans="1:10" x14ac:dyDescent="0.3">
      <c r="A1501">
        <v>2878.07</v>
      </c>
      <c r="B1501">
        <v>21.05</v>
      </c>
      <c r="G1501" t="s">
        <v>23</v>
      </c>
      <c r="H1501" s="1">
        <v>45786</v>
      </c>
      <c r="I1501" s="1">
        <v>45790</v>
      </c>
      <c r="J1501">
        <f t="shared" si="24"/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zoomScale="191" zoomScaleNormal="191" workbookViewId="0">
      <selection activeCell="B1" sqref="B1:B1501"/>
    </sheetView>
  </sheetViews>
  <sheetFormatPr defaultColWidth="8.77734375" defaultRowHeight="14.4" x14ac:dyDescent="0.3"/>
  <cols>
    <col min="1" max="1" width="12" style="9" customWidth="1"/>
    <col min="6" max="6" width="12" bestFit="1" customWidth="1"/>
    <col min="7" max="7" width="12.33203125" bestFit="1" customWidth="1"/>
    <col min="8" max="8" width="8.77734375" style="5"/>
    <col min="10" max="10" width="11.33203125" style="7" customWidth="1"/>
    <col min="11" max="11" width="14.33203125" bestFit="1" customWidth="1"/>
    <col min="14" max="14" width="10.109375" bestFit="1" customWidth="1"/>
    <col min="15" max="15" width="13.109375" bestFit="1" customWidth="1"/>
    <col min="16" max="16" width="11.109375" bestFit="1" customWidth="1"/>
    <col min="17" max="17" width="10.109375" bestFit="1" customWidth="1"/>
    <col min="18" max="18" width="11.33203125" bestFit="1" customWidth="1"/>
    <col min="19" max="19" width="13.33203125" bestFit="1" customWidth="1"/>
  </cols>
  <sheetData>
    <row r="1" spans="1:19" s="3" customFormat="1" x14ac:dyDescent="0.3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9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 s="5">
        <v>0</v>
      </c>
      <c r="I2" t="s">
        <v>37</v>
      </c>
      <c r="J2" s="7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1">
        <v>44980</v>
      </c>
      <c r="R2" s="1">
        <v>44984</v>
      </c>
      <c r="S2" t="s">
        <v>2922</v>
      </c>
    </row>
    <row r="3" spans="1:19" x14ac:dyDescent="0.3">
      <c r="A3" s="9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 s="5">
        <v>0</v>
      </c>
      <c r="I3" t="s">
        <v>38</v>
      </c>
      <c r="J3" s="7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1">
        <v>45645</v>
      </c>
      <c r="R3" s="1">
        <v>45654</v>
      </c>
      <c r="S3" t="s">
        <v>2923</v>
      </c>
    </row>
    <row r="4" spans="1:19" x14ac:dyDescent="0.3">
      <c r="A4" s="9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 s="5">
        <v>0.1</v>
      </c>
      <c r="I4" t="s">
        <v>38</v>
      </c>
      <c r="J4" s="7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1">
        <v>45056</v>
      </c>
      <c r="R4" s="1">
        <v>45065</v>
      </c>
      <c r="S4" t="s">
        <v>2924</v>
      </c>
    </row>
    <row r="5" spans="1:19" x14ac:dyDescent="0.3">
      <c r="A5" s="9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 s="5">
        <v>0.15</v>
      </c>
      <c r="I5" t="s">
        <v>39</v>
      </c>
      <c r="J5" s="7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1">
        <v>45714</v>
      </c>
      <c r="R5" s="1">
        <v>45718</v>
      </c>
      <c r="S5" t="s">
        <v>2925</v>
      </c>
    </row>
    <row r="6" spans="1:19" x14ac:dyDescent="0.3">
      <c r="A6" s="9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 s="5">
        <v>0</v>
      </c>
      <c r="I6" t="s">
        <v>40</v>
      </c>
      <c r="J6" s="7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1">
        <v>45101</v>
      </c>
      <c r="R6" s="1">
        <v>45104</v>
      </c>
      <c r="S6" t="s">
        <v>2922</v>
      </c>
    </row>
    <row r="7" spans="1:19" x14ac:dyDescent="0.3">
      <c r="A7" s="9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 s="5">
        <v>0.15</v>
      </c>
      <c r="I7" t="s">
        <v>41</v>
      </c>
      <c r="J7" s="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1">
        <v>45342</v>
      </c>
      <c r="R7" s="1">
        <v>45352</v>
      </c>
      <c r="S7" t="s">
        <v>2925</v>
      </c>
    </row>
    <row r="8" spans="1:19" x14ac:dyDescent="0.3">
      <c r="A8" s="9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 s="5">
        <v>0.1</v>
      </c>
      <c r="I8" t="s">
        <v>38</v>
      </c>
      <c r="J8" s="7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1">
        <v>44937</v>
      </c>
      <c r="R8" s="1">
        <v>44940</v>
      </c>
      <c r="S8" t="s">
        <v>2923</v>
      </c>
    </row>
    <row r="9" spans="1:19" x14ac:dyDescent="0.3">
      <c r="A9" s="9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 s="5">
        <v>0.15</v>
      </c>
      <c r="I9" t="s">
        <v>40</v>
      </c>
      <c r="J9" s="7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1">
        <v>44935</v>
      </c>
      <c r="R9" s="1">
        <v>44937</v>
      </c>
      <c r="S9" t="s">
        <v>2925</v>
      </c>
    </row>
    <row r="10" spans="1:19" x14ac:dyDescent="0.3">
      <c r="A10" s="9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 s="5">
        <v>0.05</v>
      </c>
      <c r="I10" t="s">
        <v>42</v>
      </c>
      <c r="J10" s="7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1">
        <v>45581</v>
      </c>
      <c r="R10" s="1">
        <v>45583</v>
      </c>
      <c r="S10" t="s">
        <v>2923</v>
      </c>
    </row>
    <row r="11" spans="1:19" x14ac:dyDescent="0.3">
      <c r="A11" s="9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 s="5">
        <v>0.1</v>
      </c>
      <c r="I11" t="s">
        <v>39</v>
      </c>
      <c r="J11" s="7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1">
        <v>45721</v>
      </c>
      <c r="R11" s="1">
        <v>45729</v>
      </c>
      <c r="S11" t="s">
        <v>2926</v>
      </c>
    </row>
    <row r="12" spans="1:19" x14ac:dyDescent="0.3">
      <c r="A12" s="9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 s="5">
        <v>0.15</v>
      </c>
      <c r="I12" t="s">
        <v>37</v>
      </c>
      <c r="J12" s="7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1">
        <v>45392</v>
      </c>
      <c r="R12" s="1">
        <v>45399</v>
      </c>
      <c r="S12" t="s">
        <v>2924</v>
      </c>
    </row>
    <row r="13" spans="1:19" x14ac:dyDescent="0.3">
      <c r="A13" s="9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 s="5">
        <v>0.1</v>
      </c>
      <c r="I13" t="s">
        <v>37</v>
      </c>
      <c r="J13" s="7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1">
        <v>45485</v>
      </c>
      <c r="R13" s="1">
        <v>45491</v>
      </c>
      <c r="S13" t="s">
        <v>2922</v>
      </c>
    </row>
    <row r="14" spans="1:19" x14ac:dyDescent="0.3">
      <c r="A14" s="9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 s="5">
        <v>0.05</v>
      </c>
      <c r="I14" t="s">
        <v>41</v>
      </c>
      <c r="J14" s="7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1">
        <v>45128</v>
      </c>
      <c r="R14" s="1">
        <v>45138</v>
      </c>
      <c r="S14" t="s">
        <v>2925</v>
      </c>
    </row>
    <row r="15" spans="1:19" x14ac:dyDescent="0.3">
      <c r="A15" s="9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 s="5">
        <v>0.15</v>
      </c>
      <c r="I15" t="s">
        <v>40</v>
      </c>
      <c r="J15" s="7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1">
        <v>45675</v>
      </c>
      <c r="R15" s="1">
        <v>45679</v>
      </c>
      <c r="S15" t="s">
        <v>2926</v>
      </c>
    </row>
    <row r="16" spans="1:19" x14ac:dyDescent="0.3">
      <c r="A16" s="9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 s="5">
        <v>0.15</v>
      </c>
      <c r="I16" t="s">
        <v>41</v>
      </c>
      <c r="J16" s="7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1">
        <v>45634</v>
      </c>
      <c r="R16" s="1">
        <v>45641</v>
      </c>
      <c r="S16" t="s">
        <v>2924</v>
      </c>
    </row>
    <row r="17" spans="1:19" x14ac:dyDescent="0.3">
      <c r="A17" s="9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 s="5">
        <v>0.05</v>
      </c>
      <c r="I17" t="s">
        <v>37</v>
      </c>
      <c r="J17" s="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1">
        <v>45788</v>
      </c>
      <c r="R17" s="1">
        <v>45794</v>
      </c>
      <c r="S17" t="s">
        <v>2926</v>
      </c>
    </row>
    <row r="18" spans="1:19" x14ac:dyDescent="0.3">
      <c r="A18" s="9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 s="5">
        <v>0</v>
      </c>
      <c r="I18" t="s">
        <v>42</v>
      </c>
      <c r="J18" s="7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1">
        <v>44983</v>
      </c>
      <c r="R18" s="1">
        <v>44989</v>
      </c>
      <c r="S18" t="s">
        <v>2926</v>
      </c>
    </row>
    <row r="19" spans="1:19" x14ac:dyDescent="0.3">
      <c r="A19" s="9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 s="5">
        <v>0.05</v>
      </c>
      <c r="I19" t="s">
        <v>41</v>
      </c>
      <c r="J19" s="7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1">
        <v>45440</v>
      </c>
      <c r="R19" s="1">
        <v>45444</v>
      </c>
      <c r="S19" t="s">
        <v>2925</v>
      </c>
    </row>
    <row r="20" spans="1:19" x14ac:dyDescent="0.3">
      <c r="A20" s="9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 s="5">
        <v>0.15</v>
      </c>
      <c r="I20" t="s">
        <v>40</v>
      </c>
      <c r="J20" s="7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1">
        <v>45260</v>
      </c>
      <c r="R20" s="1">
        <v>45268</v>
      </c>
      <c r="S20" t="s">
        <v>2922</v>
      </c>
    </row>
    <row r="21" spans="1:19" x14ac:dyDescent="0.3">
      <c r="A21" s="9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 s="5">
        <v>0</v>
      </c>
      <c r="I21" t="s">
        <v>40</v>
      </c>
      <c r="J21" s="7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1">
        <v>45099</v>
      </c>
      <c r="R21" s="1">
        <v>45109</v>
      </c>
      <c r="S21" t="s">
        <v>2926</v>
      </c>
    </row>
    <row r="22" spans="1:19" x14ac:dyDescent="0.3">
      <c r="A22" s="9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 s="5">
        <v>0</v>
      </c>
      <c r="I22" t="s">
        <v>41</v>
      </c>
      <c r="J22" s="7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1">
        <v>45813</v>
      </c>
      <c r="R22" s="1">
        <v>45816</v>
      </c>
      <c r="S22" t="s">
        <v>2926</v>
      </c>
    </row>
    <row r="23" spans="1:19" x14ac:dyDescent="0.3">
      <c r="A23" s="9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 s="5">
        <v>0.05</v>
      </c>
      <c r="I23" t="s">
        <v>42</v>
      </c>
      <c r="J23" s="7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1">
        <v>44988</v>
      </c>
      <c r="R23" s="1">
        <v>44993</v>
      </c>
      <c r="S23" t="s">
        <v>2925</v>
      </c>
    </row>
    <row r="24" spans="1:19" x14ac:dyDescent="0.3">
      <c r="A24" s="9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 s="5">
        <v>0</v>
      </c>
      <c r="I24" t="s">
        <v>40</v>
      </c>
      <c r="J24" s="7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1">
        <v>45340</v>
      </c>
      <c r="R24" s="1">
        <v>45344</v>
      </c>
      <c r="S24" t="s">
        <v>2924</v>
      </c>
    </row>
    <row r="25" spans="1:19" x14ac:dyDescent="0.3">
      <c r="A25" s="9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 s="5">
        <v>0.15</v>
      </c>
      <c r="I25" t="s">
        <v>41</v>
      </c>
      <c r="J25" s="7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1">
        <v>45144</v>
      </c>
      <c r="R25" s="1">
        <v>45152</v>
      </c>
      <c r="S25" t="s">
        <v>2925</v>
      </c>
    </row>
    <row r="26" spans="1:19" x14ac:dyDescent="0.3">
      <c r="A26" s="9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 s="5">
        <v>0</v>
      </c>
      <c r="I26" t="s">
        <v>37</v>
      </c>
      <c r="J26" s="7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1">
        <v>45435</v>
      </c>
      <c r="R26" s="1">
        <v>45442</v>
      </c>
      <c r="S26" t="s">
        <v>2924</v>
      </c>
    </row>
    <row r="27" spans="1:19" x14ac:dyDescent="0.3">
      <c r="A27" s="9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 s="5">
        <v>0</v>
      </c>
      <c r="I27" t="s">
        <v>41</v>
      </c>
      <c r="J27" s="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1">
        <v>45222</v>
      </c>
      <c r="R27" s="1">
        <v>45227</v>
      </c>
      <c r="S27" t="s">
        <v>2922</v>
      </c>
    </row>
    <row r="28" spans="1:19" x14ac:dyDescent="0.3">
      <c r="A28" s="9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 s="5">
        <v>0</v>
      </c>
      <c r="I28" t="s">
        <v>39</v>
      </c>
      <c r="J28" s="7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1">
        <v>45824</v>
      </c>
      <c r="R28" s="1">
        <v>45833</v>
      </c>
      <c r="S28" t="s">
        <v>2926</v>
      </c>
    </row>
    <row r="29" spans="1:19" x14ac:dyDescent="0.3">
      <c r="A29" s="9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 s="5">
        <v>0</v>
      </c>
      <c r="I29" t="s">
        <v>41</v>
      </c>
      <c r="J29" s="7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1">
        <v>44988</v>
      </c>
      <c r="R29" s="1">
        <v>44993</v>
      </c>
      <c r="S29" t="s">
        <v>2924</v>
      </c>
    </row>
    <row r="30" spans="1:19" x14ac:dyDescent="0.3">
      <c r="A30" s="9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 s="5">
        <v>0.15</v>
      </c>
      <c r="I30" t="s">
        <v>40</v>
      </c>
      <c r="J30" s="7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1">
        <v>45614</v>
      </c>
      <c r="R30" s="1">
        <v>45617</v>
      </c>
      <c r="S30" t="s">
        <v>2923</v>
      </c>
    </row>
    <row r="31" spans="1:19" x14ac:dyDescent="0.3">
      <c r="A31" s="9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 s="5">
        <v>0.1</v>
      </c>
      <c r="I31" t="s">
        <v>40</v>
      </c>
      <c r="J31" s="7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1">
        <v>45055</v>
      </c>
      <c r="R31" s="1">
        <v>45063</v>
      </c>
      <c r="S31" t="s">
        <v>2925</v>
      </c>
    </row>
    <row r="32" spans="1:19" x14ac:dyDescent="0.3">
      <c r="A32" s="9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 s="5">
        <v>0</v>
      </c>
      <c r="I32" t="s">
        <v>39</v>
      </c>
      <c r="J32" s="7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1">
        <v>45633</v>
      </c>
      <c r="R32" s="1">
        <v>45640</v>
      </c>
      <c r="S32" t="s">
        <v>2924</v>
      </c>
    </row>
    <row r="33" spans="1:19" x14ac:dyDescent="0.3">
      <c r="A33" s="9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 s="5">
        <v>0.15</v>
      </c>
      <c r="I33" t="s">
        <v>39</v>
      </c>
      <c r="J33" s="7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1">
        <v>45335</v>
      </c>
      <c r="R33" s="1">
        <v>45337</v>
      </c>
      <c r="S33" t="s">
        <v>2924</v>
      </c>
    </row>
    <row r="34" spans="1:19" x14ac:dyDescent="0.3">
      <c r="A34" s="9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 s="5">
        <v>0</v>
      </c>
      <c r="I34" t="s">
        <v>40</v>
      </c>
      <c r="J34" s="7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1">
        <v>45725</v>
      </c>
      <c r="R34" s="1">
        <v>45731</v>
      </c>
      <c r="S34" t="s">
        <v>2923</v>
      </c>
    </row>
    <row r="35" spans="1:19" x14ac:dyDescent="0.3">
      <c r="A35" s="9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 s="5">
        <v>0</v>
      </c>
      <c r="I35" t="s">
        <v>38</v>
      </c>
      <c r="J35" s="7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1">
        <v>45021</v>
      </c>
      <c r="R35" s="1">
        <v>45027</v>
      </c>
      <c r="S35" t="s">
        <v>2925</v>
      </c>
    </row>
    <row r="36" spans="1:19" x14ac:dyDescent="0.3">
      <c r="A36" s="9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 s="5">
        <v>0.15</v>
      </c>
      <c r="I36" t="s">
        <v>41</v>
      </c>
      <c r="J36" s="7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1">
        <v>45785</v>
      </c>
      <c r="R36" s="1">
        <v>45789</v>
      </c>
      <c r="S36" t="s">
        <v>2924</v>
      </c>
    </row>
    <row r="37" spans="1:19" x14ac:dyDescent="0.3">
      <c r="A37" s="9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 s="5">
        <v>0</v>
      </c>
      <c r="I37" t="s">
        <v>38</v>
      </c>
      <c r="J37" s="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1">
        <v>45172</v>
      </c>
      <c r="R37" s="1">
        <v>45180</v>
      </c>
      <c r="S37" t="s">
        <v>2924</v>
      </c>
    </row>
    <row r="38" spans="1:19" x14ac:dyDescent="0.3">
      <c r="A38" s="9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 s="5">
        <v>0.05</v>
      </c>
      <c r="I38" t="s">
        <v>40</v>
      </c>
      <c r="J38" s="7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1">
        <v>45737</v>
      </c>
      <c r="R38" s="1">
        <v>45744</v>
      </c>
      <c r="S38" t="s">
        <v>2925</v>
      </c>
    </row>
    <row r="39" spans="1:19" x14ac:dyDescent="0.3">
      <c r="A39" s="9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 s="5">
        <v>0.15</v>
      </c>
      <c r="I39" t="s">
        <v>41</v>
      </c>
      <c r="J39" s="7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1">
        <v>45828</v>
      </c>
      <c r="R39" s="1">
        <v>45838</v>
      </c>
      <c r="S39" t="s">
        <v>2923</v>
      </c>
    </row>
    <row r="40" spans="1:19" x14ac:dyDescent="0.3">
      <c r="A40" s="9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 s="5">
        <v>0.1</v>
      </c>
      <c r="I40" t="s">
        <v>42</v>
      </c>
      <c r="J40" s="7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1">
        <v>45337</v>
      </c>
      <c r="R40" s="1">
        <v>45347</v>
      </c>
      <c r="S40" t="s">
        <v>2925</v>
      </c>
    </row>
    <row r="41" spans="1:19" x14ac:dyDescent="0.3">
      <c r="A41" s="9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 s="5">
        <v>0.15</v>
      </c>
      <c r="I41" t="s">
        <v>38</v>
      </c>
      <c r="J41" s="7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1">
        <v>45086</v>
      </c>
      <c r="R41" s="1">
        <v>45094</v>
      </c>
      <c r="S41" t="s">
        <v>2925</v>
      </c>
    </row>
    <row r="42" spans="1:19" x14ac:dyDescent="0.3">
      <c r="A42" s="9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 s="5">
        <v>0.1</v>
      </c>
      <c r="I42" t="s">
        <v>37</v>
      </c>
      <c r="J42" s="7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1">
        <v>45148</v>
      </c>
      <c r="R42" s="1">
        <v>45152</v>
      </c>
      <c r="S42" t="s">
        <v>2923</v>
      </c>
    </row>
    <row r="43" spans="1:19" x14ac:dyDescent="0.3">
      <c r="A43" s="9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 s="5">
        <v>0.05</v>
      </c>
      <c r="I43" t="s">
        <v>37</v>
      </c>
      <c r="J43" s="7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1">
        <v>45459</v>
      </c>
      <c r="R43" s="1">
        <v>45468</v>
      </c>
      <c r="S43" t="s">
        <v>2925</v>
      </c>
    </row>
    <row r="44" spans="1:19" x14ac:dyDescent="0.3">
      <c r="A44" s="9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 s="5">
        <v>0</v>
      </c>
      <c r="I44" t="s">
        <v>37</v>
      </c>
      <c r="J44" s="7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1">
        <v>45130</v>
      </c>
      <c r="R44" s="1">
        <v>45133</v>
      </c>
      <c r="S44" t="s">
        <v>2923</v>
      </c>
    </row>
    <row r="45" spans="1:19" x14ac:dyDescent="0.3">
      <c r="A45" s="9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 s="5">
        <v>0.15</v>
      </c>
      <c r="I45" t="s">
        <v>40</v>
      </c>
      <c r="J45" s="7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1">
        <v>45066</v>
      </c>
      <c r="R45" s="1">
        <v>45073</v>
      </c>
      <c r="S45" t="s">
        <v>2925</v>
      </c>
    </row>
    <row r="46" spans="1:19" x14ac:dyDescent="0.3">
      <c r="A46" s="9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 s="5">
        <v>0.05</v>
      </c>
      <c r="I46" t="s">
        <v>37</v>
      </c>
      <c r="J46" s="7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1">
        <v>45107</v>
      </c>
      <c r="R46" s="1">
        <v>45111</v>
      </c>
      <c r="S46" t="s">
        <v>2923</v>
      </c>
    </row>
    <row r="47" spans="1:19" x14ac:dyDescent="0.3">
      <c r="A47" s="9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 s="5">
        <v>0</v>
      </c>
      <c r="I47" t="s">
        <v>38</v>
      </c>
      <c r="J47" s="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1">
        <v>45447</v>
      </c>
      <c r="R47" s="1">
        <v>45457</v>
      </c>
      <c r="S47" t="s">
        <v>2923</v>
      </c>
    </row>
    <row r="48" spans="1:19" x14ac:dyDescent="0.3">
      <c r="A48" s="9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 s="5">
        <v>0.15</v>
      </c>
      <c r="I48" t="s">
        <v>39</v>
      </c>
      <c r="J48" s="7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1">
        <v>45691</v>
      </c>
      <c r="R48" s="1">
        <v>45693</v>
      </c>
      <c r="S48" t="s">
        <v>2926</v>
      </c>
    </row>
    <row r="49" spans="1:19" x14ac:dyDescent="0.3">
      <c r="A49" s="9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 s="5">
        <v>0.15</v>
      </c>
      <c r="I49" t="s">
        <v>39</v>
      </c>
      <c r="J49" s="7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1">
        <v>45300</v>
      </c>
      <c r="R49" s="1">
        <v>45304</v>
      </c>
      <c r="S49" t="s">
        <v>2922</v>
      </c>
    </row>
    <row r="50" spans="1:19" x14ac:dyDescent="0.3">
      <c r="A50" s="9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 s="5">
        <v>0.1</v>
      </c>
      <c r="I50" t="s">
        <v>37</v>
      </c>
      <c r="J50" s="7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1">
        <v>45365</v>
      </c>
      <c r="R50" s="1">
        <v>45367</v>
      </c>
      <c r="S50" t="s">
        <v>2924</v>
      </c>
    </row>
    <row r="51" spans="1:19" x14ac:dyDescent="0.3">
      <c r="A51" s="9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 s="5">
        <v>0.15</v>
      </c>
      <c r="I51" t="s">
        <v>38</v>
      </c>
      <c r="J51" s="7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1">
        <v>45541</v>
      </c>
      <c r="R51" s="1">
        <v>45548</v>
      </c>
      <c r="S51" t="s">
        <v>2926</v>
      </c>
    </row>
    <row r="52" spans="1:19" x14ac:dyDescent="0.3">
      <c r="A52" s="9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 s="5">
        <v>0.1</v>
      </c>
      <c r="I52" t="s">
        <v>39</v>
      </c>
      <c r="J52" s="7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1">
        <v>45002</v>
      </c>
      <c r="R52" s="1">
        <v>45005</v>
      </c>
      <c r="S52" t="s">
        <v>2922</v>
      </c>
    </row>
    <row r="53" spans="1:19" x14ac:dyDescent="0.3">
      <c r="A53" s="9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 s="5">
        <v>0</v>
      </c>
      <c r="I53" t="s">
        <v>38</v>
      </c>
      <c r="J53" s="7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1">
        <v>45674</v>
      </c>
      <c r="R53" s="1">
        <v>45681</v>
      </c>
      <c r="S53" t="s">
        <v>2926</v>
      </c>
    </row>
    <row r="54" spans="1:19" x14ac:dyDescent="0.3">
      <c r="A54" s="9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 s="5">
        <v>0.1</v>
      </c>
      <c r="I54" t="s">
        <v>37</v>
      </c>
      <c r="J54" s="7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1">
        <v>45547</v>
      </c>
      <c r="R54" s="1">
        <v>45553</v>
      </c>
      <c r="S54" t="s">
        <v>2923</v>
      </c>
    </row>
    <row r="55" spans="1:19" x14ac:dyDescent="0.3">
      <c r="A55" s="9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 s="5">
        <v>0.05</v>
      </c>
      <c r="I55" t="s">
        <v>42</v>
      </c>
      <c r="J55" s="7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1">
        <v>45296</v>
      </c>
      <c r="R55" s="1">
        <v>45306</v>
      </c>
      <c r="S55" t="s">
        <v>2923</v>
      </c>
    </row>
    <row r="56" spans="1:19" x14ac:dyDescent="0.3">
      <c r="A56" s="9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 s="5">
        <v>0.15</v>
      </c>
      <c r="I56" t="s">
        <v>41</v>
      </c>
      <c r="J56" s="7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1">
        <v>45401</v>
      </c>
      <c r="R56" s="1">
        <v>45407</v>
      </c>
      <c r="S56" t="s">
        <v>2926</v>
      </c>
    </row>
    <row r="57" spans="1:19" x14ac:dyDescent="0.3">
      <c r="A57" s="9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 s="5">
        <v>0.05</v>
      </c>
      <c r="I57" t="s">
        <v>37</v>
      </c>
      <c r="J57" s="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1">
        <v>45819</v>
      </c>
      <c r="R57" s="1">
        <v>45829</v>
      </c>
      <c r="S57" t="s">
        <v>2925</v>
      </c>
    </row>
    <row r="58" spans="1:19" x14ac:dyDescent="0.3">
      <c r="A58" s="9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 s="5">
        <v>0.15</v>
      </c>
      <c r="I58" t="s">
        <v>40</v>
      </c>
      <c r="J58" s="7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1">
        <v>45722</v>
      </c>
      <c r="R58" s="1">
        <v>45731</v>
      </c>
      <c r="S58" t="s">
        <v>2922</v>
      </c>
    </row>
    <row r="59" spans="1:19" x14ac:dyDescent="0.3">
      <c r="A59" s="9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 s="5">
        <v>0.1</v>
      </c>
      <c r="I59" t="s">
        <v>37</v>
      </c>
      <c r="J59" s="7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1">
        <v>45070</v>
      </c>
      <c r="R59" s="1">
        <v>45072</v>
      </c>
      <c r="S59" t="s">
        <v>2922</v>
      </c>
    </row>
    <row r="60" spans="1:19" x14ac:dyDescent="0.3">
      <c r="A60" s="9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 s="5">
        <v>0.05</v>
      </c>
      <c r="I60" t="s">
        <v>42</v>
      </c>
      <c r="J60" s="7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1">
        <v>44953</v>
      </c>
      <c r="R60" s="1">
        <v>44960</v>
      </c>
      <c r="S60" t="s">
        <v>2923</v>
      </c>
    </row>
    <row r="61" spans="1:19" x14ac:dyDescent="0.3">
      <c r="A61" s="9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 s="5">
        <v>0.05</v>
      </c>
      <c r="I61" t="s">
        <v>42</v>
      </c>
      <c r="J61" s="7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1">
        <v>45372</v>
      </c>
      <c r="R61" s="1">
        <v>45378</v>
      </c>
      <c r="S61" t="s">
        <v>2923</v>
      </c>
    </row>
    <row r="62" spans="1:19" x14ac:dyDescent="0.3">
      <c r="A62" s="9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 s="5">
        <v>0.15</v>
      </c>
      <c r="I62" t="s">
        <v>39</v>
      </c>
      <c r="J62" s="7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1">
        <v>45682</v>
      </c>
      <c r="R62" s="1">
        <v>45688</v>
      </c>
      <c r="S62" t="s">
        <v>2926</v>
      </c>
    </row>
    <row r="63" spans="1:19" x14ac:dyDescent="0.3">
      <c r="A63" s="9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 s="5">
        <v>0</v>
      </c>
      <c r="I63" t="s">
        <v>37</v>
      </c>
      <c r="J63" s="7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1">
        <v>45089</v>
      </c>
      <c r="R63" s="1">
        <v>45098</v>
      </c>
      <c r="S63" t="s">
        <v>2925</v>
      </c>
    </row>
    <row r="64" spans="1:19" x14ac:dyDescent="0.3">
      <c r="A64" s="9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 s="5">
        <v>0.1</v>
      </c>
      <c r="I64" t="s">
        <v>38</v>
      </c>
      <c r="J64" s="7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1">
        <v>45738</v>
      </c>
      <c r="R64" s="1">
        <v>45742</v>
      </c>
      <c r="S64" t="s">
        <v>2925</v>
      </c>
    </row>
    <row r="65" spans="1:19" x14ac:dyDescent="0.3">
      <c r="A65" s="9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 s="5">
        <v>0.15</v>
      </c>
      <c r="I65" t="s">
        <v>42</v>
      </c>
      <c r="J65" s="7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1">
        <v>45346</v>
      </c>
      <c r="R65" s="1">
        <v>45349</v>
      </c>
      <c r="S65" t="s">
        <v>2925</v>
      </c>
    </row>
    <row r="66" spans="1:19" x14ac:dyDescent="0.3">
      <c r="A66" s="9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 s="5">
        <v>0</v>
      </c>
      <c r="I66" t="s">
        <v>39</v>
      </c>
      <c r="J66" s="7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1">
        <v>45269</v>
      </c>
      <c r="R66" s="1">
        <v>45272</v>
      </c>
      <c r="S66" t="s">
        <v>2923</v>
      </c>
    </row>
    <row r="67" spans="1:19" x14ac:dyDescent="0.3">
      <c r="A67" s="9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 s="5">
        <v>0.1</v>
      </c>
      <c r="I67" t="s">
        <v>39</v>
      </c>
      <c r="J67" s="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1">
        <v>45200</v>
      </c>
      <c r="R67" s="1">
        <v>45204</v>
      </c>
      <c r="S67" t="s">
        <v>2925</v>
      </c>
    </row>
    <row r="68" spans="1:19" x14ac:dyDescent="0.3">
      <c r="A68" s="9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 s="5">
        <v>0.05</v>
      </c>
      <c r="I68" t="s">
        <v>39</v>
      </c>
      <c r="J68" s="7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1">
        <v>45138</v>
      </c>
      <c r="R68" s="1">
        <v>45145</v>
      </c>
      <c r="S68" t="s">
        <v>2926</v>
      </c>
    </row>
    <row r="69" spans="1:19" x14ac:dyDescent="0.3">
      <c r="A69" s="9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 s="5">
        <v>0.05</v>
      </c>
      <c r="I69" t="s">
        <v>40</v>
      </c>
      <c r="J69" s="7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1">
        <v>45650</v>
      </c>
      <c r="R69" s="1">
        <v>45657</v>
      </c>
      <c r="S69" t="s">
        <v>2923</v>
      </c>
    </row>
    <row r="70" spans="1:19" x14ac:dyDescent="0.3">
      <c r="A70" s="9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 s="5">
        <v>0.1</v>
      </c>
      <c r="I70" t="s">
        <v>42</v>
      </c>
      <c r="J70" s="7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1">
        <v>45611</v>
      </c>
      <c r="R70" s="1">
        <v>45615</v>
      </c>
      <c r="S70" t="s">
        <v>2924</v>
      </c>
    </row>
    <row r="71" spans="1:19" x14ac:dyDescent="0.3">
      <c r="A71" s="9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 s="5">
        <v>0.15</v>
      </c>
      <c r="I71" t="s">
        <v>40</v>
      </c>
      <c r="J71" s="7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1">
        <v>45729</v>
      </c>
      <c r="R71" s="1">
        <v>45738</v>
      </c>
      <c r="S71" t="s">
        <v>2926</v>
      </c>
    </row>
    <row r="72" spans="1:19" x14ac:dyDescent="0.3">
      <c r="A72" s="9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 s="5">
        <v>0.15</v>
      </c>
      <c r="I72" t="s">
        <v>38</v>
      </c>
      <c r="J72" s="7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1">
        <v>45354</v>
      </c>
      <c r="R72" s="1">
        <v>45363</v>
      </c>
      <c r="S72" t="s">
        <v>2922</v>
      </c>
    </row>
    <row r="73" spans="1:19" x14ac:dyDescent="0.3">
      <c r="A73" s="9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 s="5">
        <v>0.1</v>
      </c>
      <c r="I73" t="s">
        <v>37</v>
      </c>
      <c r="J73" s="7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1">
        <v>44968</v>
      </c>
      <c r="R73" s="1">
        <v>44971</v>
      </c>
      <c r="S73" t="s">
        <v>2925</v>
      </c>
    </row>
    <row r="74" spans="1:19" x14ac:dyDescent="0.3">
      <c r="A74" s="9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 s="5">
        <v>0.05</v>
      </c>
      <c r="I74" t="s">
        <v>40</v>
      </c>
      <c r="J74" s="7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1">
        <v>45225</v>
      </c>
      <c r="R74" s="1">
        <v>45235</v>
      </c>
      <c r="S74" t="s">
        <v>2923</v>
      </c>
    </row>
    <row r="75" spans="1:19" x14ac:dyDescent="0.3">
      <c r="A75" s="9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 s="5">
        <v>0.05</v>
      </c>
      <c r="I75" t="s">
        <v>38</v>
      </c>
      <c r="J75" s="7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1">
        <v>45220</v>
      </c>
      <c r="R75" s="1">
        <v>45227</v>
      </c>
      <c r="S75" t="s">
        <v>2923</v>
      </c>
    </row>
    <row r="76" spans="1:19" x14ac:dyDescent="0.3">
      <c r="A76" s="9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 s="5">
        <v>0.15</v>
      </c>
      <c r="I76" t="s">
        <v>41</v>
      </c>
      <c r="J76" s="7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1">
        <v>45305</v>
      </c>
      <c r="R76" s="1">
        <v>45311</v>
      </c>
      <c r="S76" t="s">
        <v>2925</v>
      </c>
    </row>
    <row r="77" spans="1:19" x14ac:dyDescent="0.3">
      <c r="A77" s="9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 s="5">
        <v>0.1</v>
      </c>
      <c r="I77" t="s">
        <v>37</v>
      </c>
      <c r="J77" s="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1">
        <v>45134</v>
      </c>
      <c r="R77" s="1">
        <v>45138</v>
      </c>
      <c r="S77" t="s">
        <v>2925</v>
      </c>
    </row>
    <row r="78" spans="1:19" x14ac:dyDescent="0.3">
      <c r="A78" s="9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 s="5">
        <v>0.1</v>
      </c>
      <c r="I78" t="s">
        <v>42</v>
      </c>
      <c r="J78" s="7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1">
        <v>45588</v>
      </c>
      <c r="R78" s="1">
        <v>45590</v>
      </c>
      <c r="S78" t="s">
        <v>2923</v>
      </c>
    </row>
    <row r="79" spans="1:19" x14ac:dyDescent="0.3">
      <c r="A79" s="9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 s="5">
        <v>0.15</v>
      </c>
      <c r="I79" t="s">
        <v>38</v>
      </c>
      <c r="J79" s="7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1">
        <v>45195</v>
      </c>
      <c r="R79" s="1">
        <v>45200</v>
      </c>
      <c r="S79" t="s">
        <v>2923</v>
      </c>
    </row>
    <row r="80" spans="1:19" x14ac:dyDescent="0.3">
      <c r="A80" s="9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 s="5">
        <v>0</v>
      </c>
      <c r="I80" t="s">
        <v>40</v>
      </c>
      <c r="J80" s="7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1">
        <v>45276</v>
      </c>
      <c r="R80" s="1">
        <v>45280</v>
      </c>
      <c r="S80" t="s">
        <v>2922</v>
      </c>
    </row>
    <row r="81" spans="1:19" x14ac:dyDescent="0.3">
      <c r="A81" s="9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 s="5">
        <v>0</v>
      </c>
      <c r="I81" t="s">
        <v>38</v>
      </c>
      <c r="J81" s="7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1">
        <v>45293</v>
      </c>
      <c r="R81" s="1">
        <v>45296</v>
      </c>
      <c r="S81" t="s">
        <v>2925</v>
      </c>
    </row>
    <row r="82" spans="1:19" x14ac:dyDescent="0.3">
      <c r="A82" s="9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 s="5">
        <v>0.05</v>
      </c>
      <c r="I82" t="s">
        <v>38</v>
      </c>
      <c r="J82" s="7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1">
        <v>45338</v>
      </c>
      <c r="R82" s="1">
        <v>45347</v>
      </c>
      <c r="S82" t="s">
        <v>2924</v>
      </c>
    </row>
    <row r="83" spans="1:19" x14ac:dyDescent="0.3">
      <c r="A83" s="9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 s="5">
        <v>0.15</v>
      </c>
      <c r="I83" t="s">
        <v>39</v>
      </c>
      <c r="J83" s="7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1">
        <v>45415</v>
      </c>
      <c r="R83" s="1">
        <v>45424</v>
      </c>
      <c r="S83" t="s">
        <v>2922</v>
      </c>
    </row>
    <row r="84" spans="1:19" x14ac:dyDescent="0.3">
      <c r="A84" s="9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 s="5">
        <v>0.05</v>
      </c>
      <c r="I84" t="s">
        <v>42</v>
      </c>
      <c r="J84" s="7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1">
        <v>45073</v>
      </c>
      <c r="R84" s="1">
        <v>45079</v>
      </c>
      <c r="S84" t="s">
        <v>2926</v>
      </c>
    </row>
    <row r="85" spans="1:19" x14ac:dyDescent="0.3">
      <c r="A85" s="9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 s="5">
        <v>0</v>
      </c>
      <c r="I85" t="s">
        <v>42</v>
      </c>
      <c r="J85" s="7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1">
        <v>44931</v>
      </c>
      <c r="R85" s="1">
        <v>44937</v>
      </c>
      <c r="S85" t="s">
        <v>2922</v>
      </c>
    </row>
    <row r="86" spans="1:19" x14ac:dyDescent="0.3">
      <c r="A86" s="9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 s="5">
        <v>0.15</v>
      </c>
      <c r="I86" t="s">
        <v>41</v>
      </c>
      <c r="J86" s="7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1">
        <v>45798</v>
      </c>
      <c r="R86" s="1">
        <v>45800</v>
      </c>
      <c r="S86" t="s">
        <v>2922</v>
      </c>
    </row>
    <row r="87" spans="1:19" x14ac:dyDescent="0.3">
      <c r="A87" s="9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 s="5">
        <v>0</v>
      </c>
      <c r="I87" t="s">
        <v>37</v>
      </c>
      <c r="J87" s="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1">
        <v>45128</v>
      </c>
      <c r="R87" s="1">
        <v>45132</v>
      </c>
      <c r="S87" t="s">
        <v>2925</v>
      </c>
    </row>
    <row r="88" spans="1:19" x14ac:dyDescent="0.3">
      <c r="A88" s="9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 s="5">
        <v>0</v>
      </c>
      <c r="I88" t="s">
        <v>42</v>
      </c>
      <c r="J88" s="7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1">
        <v>45802</v>
      </c>
      <c r="R88" s="1">
        <v>45811</v>
      </c>
      <c r="S88" t="s">
        <v>2922</v>
      </c>
    </row>
    <row r="89" spans="1:19" x14ac:dyDescent="0.3">
      <c r="A89" s="9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 s="5">
        <v>0.1</v>
      </c>
      <c r="I89" t="s">
        <v>42</v>
      </c>
      <c r="J89" s="7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1">
        <v>45612</v>
      </c>
      <c r="R89" s="1">
        <v>45618</v>
      </c>
      <c r="S89" t="s">
        <v>2923</v>
      </c>
    </row>
    <row r="90" spans="1:19" x14ac:dyDescent="0.3">
      <c r="A90" s="9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 s="5">
        <v>0.05</v>
      </c>
      <c r="I90" t="s">
        <v>39</v>
      </c>
      <c r="J90" s="7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1">
        <v>45249</v>
      </c>
      <c r="R90" s="1">
        <v>45255</v>
      </c>
      <c r="S90" t="s">
        <v>2924</v>
      </c>
    </row>
    <row r="91" spans="1:19" x14ac:dyDescent="0.3">
      <c r="A91" s="9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 s="5">
        <v>0.05</v>
      </c>
      <c r="I91" t="s">
        <v>42</v>
      </c>
      <c r="J91" s="7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1">
        <v>45669</v>
      </c>
      <c r="R91" s="1">
        <v>45678</v>
      </c>
      <c r="S91" t="s">
        <v>2925</v>
      </c>
    </row>
    <row r="92" spans="1:19" x14ac:dyDescent="0.3">
      <c r="A92" s="9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 s="5">
        <v>0.1</v>
      </c>
      <c r="I92" t="s">
        <v>40</v>
      </c>
      <c r="J92" s="7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1">
        <v>45014</v>
      </c>
      <c r="R92" s="1">
        <v>45019</v>
      </c>
      <c r="S92" t="s">
        <v>2924</v>
      </c>
    </row>
    <row r="93" spans="1:19" x14ac:dyDescent="0.3">
      <c r="A93" s="9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 s="5">
        <v>0.05</v>
      </c>
      <c r="I93" t="s">
        <v>40</v>
      </c>
      <c r="J93" s="7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1">
        <v>45717</v>
      </c>
      <c r="R93" s="1">
        <v>45721</v>
      </c>
      <c r="S93" t="s">
        <v>2924</v>
      </c>
    </row>
    <row r="94" spans="1:19" x14ac:dyDescent="0.3">
      <c r="A94" s="9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 s="5">
        <v>0.15</v>
      </c>
      <c r="I94" t="s">
        <v>41</v>
      </c>
      <c r="J94" s="7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1">
        <v>45217</v>
      </c>
      <c r="R94" s="1">
        <v>45219</v>
      </c>
      <c r="S94" t="s">
        <v>2924</v>
      </c>
    </row>
    <row r="95" spans="1:19" x14ac:dyDescent="0.3">
      <c r="A95" s="9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 s="5">
        <v>0</v>
      </c>
      <c r="I95" t="s">
        <v>42</v>
      </c>
      <c r="J95" s="7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1">
        <v>45760</v>
      </c>
      <c r="R95" s="1">
        <v>45762</v>
      </c>
      <c r="S95" t="s">
        <v>2922</v>
      </c>
    </row>
    <row r="96" spans="1:19" x14ac:dyDescent="0.3">
      <c r="A96" s="9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 s="5">
        <v>0.05</v>
      </c>
      <c r="I96" t="s">
        <v>38</v>
      </c>
      <c r="J96" s="7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1">
        <v>45790</v>
      </c>
      <c r="R96" s="1">
        <v>45800</v>
      </c>
      <c r="S96" t="s">
        <v>2925</v>
      </c>
    </row>
    <row r="97" spans="1:19" x14ac:dyDescent="0.3">
      <c r="A97" s="9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 s="5">
        <v>0.05</v>
      </c>
      <c r="I97" t="s">
        <v>37</v>
      </c>
      <c r="J97" s="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1">
        <v>45403</v>
      </c>
      <c r="R97" s="1">
        <v>45409</v>
      </c>
      <c r="S97" t="s">
        <v>2926</v>
      </c>
    </row>
    <row r="98" spans="1:19" x14ac:dyDescent="0.3">
      <c r="A98" s="9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 s="5">
        <v>0.05</v>
      </c>
      <c r="I98" t="s">
        <v>37</v>
      </c>
      <c r="J98" s="7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1">
        <v>45688</v>
      </c>
      <c r="R98" s="1">
        <v>45696</v>
      </c>
      <c r="S98" t="s">
        <v>2925</v>
      </c>
    </row>
    <row r="99" spans="1:19" x14ac:dyDescent="0.3">
      <c r="A99" s="9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 s="5">
        <v>0</v>
      </c>
      <c r="I99" t="s">
        <v>42</v>
      </c>
      <c r="J99" s="7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1">
        <v>45730</v>
      </c>
      <c r="R99" s="1">
        <v>45735</v>
      </c>
      <c r="S99" t="s">
        <v>2925</v>
      </c>
    </row>
    <row r="100" spans="1:19" x14ac:dyDescent="0.3">
      <c r="A100" s="9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 s="5">
        <v>0.15</v>
      </c>
      <c r="I100" t="s">
        <v>38</v>
      </c>
      <c r="J100" s="7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1">
        <v>45438</v>
      </c>
      <c r="R100" s="1">
        <v>45441</v>
      </c>
      <c r="S100" t="s">
        <v>2926</v>
      </c>
    </row>
    <row r="101" spans="1:19" x14ac:dyDescent="0.3">
      <c r="A101" s="9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 s="5">
        <v>0.05</v>
      </c>
      <c r="I101" t="s">
        <v>40</v>
      </c>
      <c r="J101" s="7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1">
        <v>45129</v>
      </c>
      <c r="R101" s="1">
        <v>45133</v>
      </c>
      <c r="S101" t="s">
        <v>2924</v>
      </c>
    </row>
    <row r="102" spans="1:19" x14ac:dyDescent="0.3">
      <c r="A102" s="9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 s="5">
        <v>0.15</v>
      </c>
      <c r="I102" t="s">
        <v>39</v>
      </c>
      <c r="J102" s="7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1">
        <v>45372</v>
      </c>
      <c r="R102" s="1">
        <v>45381</v>
      </c>
      <c r="S102" t="s">
        <v>2924</v>
      </c>
    </row>
    <row r="103" spans="1:19" x14ac:dyDescent="0.3">
      <c r="A103" s="9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 s="5">
        <v>0</v>
      </c>
      <c r="I103" t="s">
        <v>39</v>
      </c>
      <c r="J103" s="7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1">
        <v>45021</v>
      </c>
      <c r="R103" s="1">
        <v>45024</v>
      </c>
      <c r="S103" t="s">
        <v>2926</v>
      </c>
    </row>
    <row r="104" spans="1:19" x14ac:dyDescent="0.3">
      <c r="A104" s="9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 s="5">
        <v>0.05</v>
      </c>
      <c r="I104" t="s">
        <v>38</v>
      </c>
      <c r="J104" s="7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1">
        <v>45530</v>
      </c>
      <c r="R104" s="1">
        <v>45536</v>
      </c>
      <c r="S104" t="s">
        <v>2922</v>
      </c>
    </row>
    <row r="105" spans="1:19" x14ac:dyDescent="0.3">
      <c r="A105" s="9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 s="5">
        <v>0</v>
      </c>
      <c r="I105" t="s">
        <v>42</v>
      </c>
      <c r="J105" s="7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1">
        <v>45480</v>
      </c>
      <c r="R105" s="1">
        <v>45490</v>
      </c>
      <c r="S105" t="s">
        <v>2924</v>
      </c>
    </row>
    <row r="106" spans="1:19" x14ac:dyDescent="0.3">
      <c r="A106" s="9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 s="5">
        <v>0.05</v>
      </c>
      <c r="I106" t="s">
        <v>38</v>
      </c>
      <c r="J106" s="7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1">
        <v>45198</v>
      </c>
      <c r="R106" s="1">
        <v>45207</v>
      </c>
      <c r="S106" t="s">
        <v>2922</v>
      </c>
    </row>
    <row r="107" spans="1:19" x14ac:dyDescent="0.3">
      <c r="A107" s="9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 s="5">
        <v>0.1</v>
      </c>
      <c r="I107" t="s">
        <v>40</v>
      </c>
      <c r="J107" s="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1">
        <v>45203</v>
      </c>
      <c r="R107" s="1">
        <v>45210</v>
      </c>
      <c r="S107" t="s">
        <v>2926</v>
      </c>
    </row>
    <row r="108" spans="1:19" x14ac:dyDescent="0.3">
      <c r="A108" s="9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 s="5">
        <v>0.05</v>
      </c>
      <c r="I108" t="s">
        <v>40</v>
      </c>
      <c r="J108" s="7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1">
        <v>45817</v>
      </c>
      <c r="R108" s="1">
        <v>45824</v>
      </c>
      <c r="S108" t="s">
        <v>2925</v>
      </c>
    </row>
    <row r="109" spans="1:19" x14ac:dyDescent="0.3">
      <c r="A109" s="9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 s="5">
        <v>0.1</v>
      </c>
      <c r="I109" t="s">
        <v>37</v>
      </c>
      <c r="J109" s="7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1">
        <v>45820</v>
      </c>
      <c r="R109" s="1">
        <v>45822</v>
      </c>
      <c r="S109" t="s">
        <v>2922</v>
      </c>
    </row>
    <row r="110" spans="1:19" x14ac:dyDescent="0.3">
      <c r="A110" s="9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 s="5">
        <v>0</v>
      </c>
      <c r="I110" t="s">
        <v>40</v>
      </c>
      <c r="J110" s="7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1">
        <v>45472</v>
      </c>
      <c r="R110" s="1">
        <v>45479</v>
      </c>
      <c r="S110" t="s">
        <v>2922</v>
      </c>
    </row>
    <row r="111" spans="1:19" x14ac:dyDescent="0.3">
      <c r="A111" s="9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 s="5">
        <v>0.15</v>
      </c>
      <c r="I111" t="s">
        <v>38</v>
      </c>
      <c r="J111" s="7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1">
        <v>45374</v>
      </c>
      <c r="R111" s="1">
        <v>45384</v>
      </c>
      <c r="S111" t="s">
        <v>2924</v>
      </c>
    </row>
    <row r="112" spans="1:19" x14ac:dyDescent="0.3">
      <c r="A112" s="9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 s="5">
        <v>0</v>
      </c>
      <c r="I112" t="s">
        <v>38</v>
      </c>
      <c r="J112" s="7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1">
        <v>45487</v>
      </c>
      <c r="R112" s="1">
        <v>45494</v>
      </c>
      <c r="S112" t="s">
        <v>2923</v>
      </c>
    </row>
    <row r="113" spans="1:19" x14ac:dyDescent="0.3">
      <c r="A113" s="9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 s="5">
        <v>0.1</v>
      </c>
      <c r="I113" t="s">
        <v>42</v>
      </c>
      <c r="J113" s="7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1">
        <v>45366</v>
      </c>
      <c r="R113" s="1">
        <v>45376</v>
      </c>
      <c r="S113" t="s">
        <v>2923</v>
      </c>
    </row>
    <row r="114" spans="1:19" x14ac:dyDescent="0.3">
      <c r="A114" s="9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 s="5">
        <v>0.05</v>
      </c>
      <c r="I114" t="s">
        <v>40</v>
      </c>
      <c r="J114" s="7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1">
        <v>45766</v>
      </c>
      <c r="R114" s="1">
        <v>45771</v>
      </c>
      <c r="S114" t="s">
        <v>2925</v>
      </c>
    </row>
    <row r="115" spans="1:19" x14ac:dyDescent="0.3">
      <c r="A115" s="9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 s="5">
        <v>0.15</v>
      </c>
      <c r="I115" t="s">
        <v>40</v>
      </c>
      <c r="J115" s="7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1">
        <v>45337</v>
      </c>
      <c r="R115" s="1">
        <v>45342</v>
      </c>
      <c r="S115" t="s">
        <v>2926</v>
      </c>
    </row>
    <row r="116" spans="1:19" x14ac:dyDescent="0.3">
      <c r="A116" s="9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 s="5">
        <v>0</v>
      </c>
      <c r="I116" t="s">
        <v>39</v>
      </c>
      <c r="J116" s="7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1">
        <v>45316</v>
      </c>
      <c r="R116" s="1">
        <v>45326</v>
      </c>
      <c r="S116" t="s">
        <v>2922</v>
      </c>
    </row>
    <row r="117" spans="1:19" x14ac:dyDescent="0.3">
      <c r="A117" s="9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 s="5">
        <v>0</v>
      </c>
      <c r="I117" t="s">
        <v>40</v>
      </c>
      <c r="J117" s="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1">
        <v>45762</v>
      </c>
      <c r="R117" s="1">
        <v>45770</v>
      </c>
      <c r="S117" t="s">
        <v>2925</v>
      </c>
    </row>
    <row r="118" spans="1:19" x14ac:dyDescent="0.3">
      <c r="A118" s="9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 s="5">
        <v>0.1</v>
      </c>
      <c r="I118" t="s">
        <v>39</v>
      </c>
      <c r="J118" s="7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1">
        <v>45762</v>
      </c>
      <c r="R118" s="1">
        <v>45767</v>
      </c>
      <c r="S118" t="s">
        <v>2925</v>
      </c>
    </row>
    <row r="119" spans="1:19" x14ac:dyDescent="0.3">
      <c r="A119" s="9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 s="5">
        <v>0.05</v>
      </c>
      <c r="I119" t="s">
        <v>41</v>
      </c>
      <c r="J119" s="7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1">
        <v>45515</v>
      </c>
      <c r="R119" s="1">
        <v>45517</v>
      </c>
      <c r="S119" t="s">
        <v>2926</v>
      </c>
    </row>
    <row r="120" spans="1:19" x14ac:dyDescent="0.3">
      <c r="A120" s="9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 s="5">
        <v>0</v>
      </c>
      <c r="I120" t="s">
        <v>41</v>
      </c>
      <c r="J120" s="7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1">
        <v>45261</v>
      </c>
      <c r="R120" s="1">
        <v>45268</v>
      </c>
      <c r="S120" t="s">
        <v>2923</v>
      </c>
    </row>
    <row r="121" spans="1:19" x14ac:dyDescent="0.3">
      <c r="A121" s="9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 s="5">
        <v>0.05</v>
      </c>
      <c r="I121" t="s">
        <v>42</v>
      </c>
      <c r="J121" s="7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1">
        <v>45144</v>
      </c>
      <c r="R121" s="1">
        <v>45149</v>
      </c>
      <c r="S121" t="s">
        <v>2925</v>
      </c>
    </row>
    <row r="122" spans="1:19" x14ac:dyDescent="0.3">
      <c r="A122" s="9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 s="5">
        <v>0.1</v>
      </c>
      <c r="I122" t="s">
        <v>40</v>
      </c>
      <c r="J122" s="7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1">
        <v>45315</v>
      </c>
      <c r="R122" s="1">
        <v>45322</v>
      </c>
      <c r="S122" t="s">
        <v>2925</v>
      </c>
    </row>
    <row r="123" spans="1:19" x14ac:dyDescent="0.3">
      <c r="A123" s="9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 s="5">
        <v>0</v>
      </c>
      <c r="I123" t="s">
        <v>40</v>
      </c>
      <c r="J123" s="7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1">
        <v>45358</v>
      </c>
      <c r="R123" s="1">
        <v>45364</v>
      </c>
      <c r="S123" t="s">
        <v>2925</v>
      </c>
    </row>
    <row r="124" spans="1:19" x14ac:dyDescent="0.3">
      <c r="A124" s="9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 s="5">
        <v>0.1</v>
      </c>
      <c r="I124" t="s">
        <v>40</v>
      </c>
      <c r="J124" s="7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1">
        <v>45313</v>
      </c>
      <c r="R124" s="1">
        <v>45319</v>
      </c>
      <c r="S124" t="s">
        <v>2923</v>
      </c>
    </row>
    <row r="125" spans="1:19" x14ac:dyDescent="0.3">
      <c r="A125" s="9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 s="5">
        <v>0.15</v>
      </c>
      <c r="I125" t="s">
        <v>39</v>
      </c>
      <c r="J125" s="7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1">
        <v>44980</v>
      </c>
      <c r="R125" s="1">
        <v>44984</v>
      </c>
      <c r="S125" t="s">
        <v>2922</v>
      </c>
    </row>
    <row r="126" spans="1:19" x14ac:dyDescent="0.3">
      <c r="A126" s="9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 s="5">
        <v>0</v>
      </c>
      <c r="I126" t="s">
        <v>41</v>
      </c>
      <c r="J126" s="7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1">
        <v>45091</v>
      </c>
      <c r="R126" s="1">
        <v>45099</v>
      </c>
      <c r="S126" t="s">
        <v>2924</v>
      </c>
    </row>
    <row r="127" spans="1:19" x14ac:dyDescent="0.3">
      <c r="A127" s="9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 s="5">
        <v>0.05</v>
      </c>
      <c r="I127" t="s">
        <v>39</v>
      </c>
      <c r="J127" s="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1">
        <v>45790</v>
      </c>
      <c r="R127" s="1">
        <v>45792</v>
      </c>
      <c r="S127" t="s">
        <v>2924</v>
      </c>
    </row>
    <row r="128" spans="1:19" x14ac:dyDescent="0.3">
      <c r="A128" s="9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 s="5">
        <v>0.15</v>
      </c>
      <c r="I128" t="s">
        <v>41</v>
      </c>
      <c r="J128" s="7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1">
        <v>45503</v>
      </c>
      <c r="R128" s="1">
        <v>45510</v>
      </c>
      <c r="S128" t="s">
        <v>2925</v>
      </c>
    </row>
    <row r="129" spans="1:19" x14ac:dyDescent="0.3">
      <c r="A129" s="9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 s="5">
        <v>0</v>
      </c>
      <c r="I129" t="s">
        <v>39</v>
      </c>
      <c r="J129" s="7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1">
        <v>45491</v>
      </c>
      <c r="R129" s="1">
        <v>45500</v>
      </c>
      <c r="S129" t="s">
        <v>2922</v>
      </c>
    </row>
    <row r="130" spans="1:19" x14ac:dyDescent="0.3">
      <c r="A130" s="9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 s="5">
        <v>0.15</v>
      </c>
      <c r="I130" t="s">
        <v>37</v>
      </c>
      <c r="J130" s="7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1">
        <v>45530</v>
      </c>
      <c r="R130" s="1">
        <v>45536</v>
      </c>
      <c r="S130" t="s">
        <v>2922</v>
      </c>
    </row>
    <row r="131" spans="1:19" x14ac:dyDescent="0.3">
      <c r="A131" s="9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 s="5">
        <v>0.05</v>
      </c>
      <c r="I131" t="s">
        <v>39</v>
      </c>
      <c r="J131" s="7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1">
        <v>45816</v>
      </c>
      <c r="R131" s="1">
        <v>45823</v>
      </c>
      <c r="S131" t="s">
        <v>2926</v>
      </c>
    </row>
    <row r="132" spans="1:19" x14ac:dyDescent="0.3">
      <c r="A132" s="9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 s="5">
        <v>0</v>
      </c>
      <c r="I132" t="s">
        <v>40</v>
      </c>
      <c r="J132" s="7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1">
        <v>45793</v>
      </c>
      <c r="R132" s="1">
        <v>45800</v>
      </c>
      <c r="S132" t="s">
        <v>2924</v>
      </c>
    </row>
    <row r="133" spans="1:19" x14ac:dyDescent="0.3">
      <c r="A133" s="9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 s="5">
        <v>0</v>
      </c>
      <c r="I133" t="s">
        <v>37</v>
      </c>
      <c r="J133" s="7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1">
        <v>45491</v>
      </c>
      <c r="R133" s="1">
        <v>45497</v>
      </c>
      <c r="S133" t="s">
        <v>2922</v>
      </c>
    </row>
    <row r="134" spans="1:19" x14ac:dyDescent="0.3">
      <c r="A134" s="9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 s="5">
        <v>0</v>
      </c>
      <c r="I134" t="s">
        <v>42</v>
      </c>
      <c r="J134" s="7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1">
        <v>45186</v>
      </c>
      <c r="R134" s="1">
        <v>45195</v>
      </c>
      <c r="S134" t="s">
        <v>2926</v>
      </c>
    </row>
    <row r="135" spans="1:19" x14ac:dyDescent="0.3">
      <c r="A135" s="9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 s="5">
        <v>0.05</v>
      </c>
      <c r="I135" t="s">
        <v>42</v>
      </c>
      <c r="J135" s="7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1">
        <v>44998</v>
      </c>
      <c r="R135" s="1">
        <v>45004</v>
      </c>
      <c r="S135" t="s">
        <v>2922</v>
      </c>
    </row>
    <row r="136" spans="1:19" x14ac:dyDescent="0.3">
      <c r="A136" s="9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 s="5">
        <v>0.05</v>
      </c>
      <c r="I136" t="s">
        <v>38</v>
      </c>
      <c r="J136" s="7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1">
        <v>45014</v>
      </c>
      <c r="R136" s="1">
        <v>45019</v>
      </c>
      <c r="S136" t="s">
        <v>2923</v>
      </c>
    </row>
    <row r="137" spans="1:19" x14ac:dyDescent="0.3">
      <c r="A137" s="9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 s="5">
        <v>0.05</v>
      </c>
      <c r="I137" t="s">
        <v>39</v>
      </c>
      <c r="J137" s="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1">
        <v>45121</v>
      </c>
      <c r="R137" s="1">
        <v>45130</v>
      </c>
      <c r="S137" t="s">
        <v>2925</v>
      </c>
    </row>
    <row r="138" spans="1:19" x14ac:dyDescent="0.3">
      <c r="A138" s="9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 s="5">
        <v>0.05</v>
      </c>
      <c r="I138" t="s">
        <v>41</v>
      </c>
      <c r="J138" s="7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1">
        <v>45373</v>
      </c>
      <c r="R138" s="1">
        <v>45382</v>
      </c>
      <c r="S138" t="s">
        <v>2926</v>
      </c>
    </row>
    <row r="139" spans="1:19" x14ac:dyDescent="0.3">
      <c r="A139" s="9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 s="5">
        <v>0.1</v>
      </c>
      <c r="I139" t="s">
        <v>42</v>
      </c>
      <c r="J139" s="7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1">
        <v>45426</v>
      </c>
      <c r="R139" s="1">
        <v>45429</v>
      </c>
      <c r="S139" t="s">
        <v>2925</v>
      </c>
    </row>
    <row r="140" spans="1:19" x14ac:dyDescent="0.3">
      <c r="A140" s="9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 s="5">
        <v>0.05</v>
      </c>
      <c r="I140" t="s">
        <v>41</v>
      </c>
      <c r="J140" s="7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1">
        <v>45076</v>
      </c>
      <c r="R140" s="1">
        <v>45079</v>
      </c>
      <c r="S140" t="s">
        <v>2925</v>
      </c>
    </row>
    <row r="141" spans="1:19" x14ac:dyDescent="0.3">
      <c r="A141" s="9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 s="5">
        <v>0.05</v>
      </c>
      <c r="I141" t="s">
        <v>38</v>
      </c>
      <c r="J141" s="7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1">
        <v>45004</v>
      </c>
      <c r="R141" s="1">
        <v>45007</v>
      </c>
      <c r="S141" t="s">
        <v>2924</v>
      </c>
    </row>
    <row r="142" spans="1:19" x14ac:dyDescent="0.3">
      <c r="A142" s="9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 s="5">
        <v>0.15</v>
      </c>
      <c r="I142" t="s">
        <v>38</v>
      </c>
      <c r="J142" s="7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1">
        <v>45147</v>
      </c>
      <c r="R142" s="1">
        <v>45152</v>
      </c>
      <c r="S142" t="s">
        <v>2925</v>
      </c>
    </row>
    <row r="143" spans="1:19" x14ac:dyDescent="0.3">
      <c r="A143" s="9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 s="5">
        <v>0.15</v>
      </c>
      <c r="I143" t="s">
        <v>42</v>
      </c>
      <c r="J143" s="7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1">
        <v>45578</v>
      </c>
      <c r="R143" s="1">
        <v>45585</v>
      </c>
      <c r="S143" t="s">
        <v>2924</v>
      </c>
    </row>
    <row r="144" spans="1:19" x14ac:dyDescent="0.3">
      <c r="A144" s="9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 s="5">
        <v>0</v>
      </c>
      <c r="I144" t="s">
        <v>38</v>
      </c>
      <c r="J144" s="7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1">
        <v>45705</v>
      </c>
      <c r="R144" s="1">
        <v>45713</v>
      </c>
      <c r="S144" t="s">
        <v>2922</v>
      </c>
    </row>
    <row r="145" spans="1:19" x14ac:dyDescent="0.3">
      <c r="A145" s="9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 s="5">
        <v>0.15</v>
      </c>
      <c r="I145" t="s">
        <v>41</v>
      </c>
      <c r="J145" s="7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1">
        <v>45819</v>
      </c>
      <c r="R145" s="1">
        <v>45828</v>
      </c>
      <c r="S145" t="s">
        <v>2924</v>
      </c>
    </row>
    <row r="146" spans="1:19" x14ac:dyDescent="0.3">
      <c r="A146" s="9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 s="5">
        <v>0</v>
      </c>
      <c r="I146" t="s">
        <v>42</v>
      </c>
      <c r="J146" s="7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1">
        <v>45411</v>
      </c>
      <c r="R146" s="1">
        <v>45413</v>
      </c>
      <c r="S146" t="s">
        <v>2925</v>
      </c>
    </row>
    <row r="147" spans="1:19" x14ac:dyDescent="0.3">
      <c r="A147" s="9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 s="5">
        <v>0.15</v>
      </c>
      <c r="I147" t="s">
        <v>42</v>
      </c>
      <c r="J147" s="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1">
        <v>45003</v>
      </c>
      <c r="R147" s="1">
        <v>45005</v>
      </c>
      <c r="S147" t="s">
        <v>2926</v>
      </c>
    </row>
    <row r="148" spans="1:19" x14ac:dyDescent="0.3">
      <c r="A148" s="9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 s="5">
        <v>0.1</v>
      </c>
      <c r="I148" t="s">
        <v>40</v>
      </c>
      <c r="J148" s="7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1">
        <v>45647</v>
      </c>
      <c r="R148" s="1">
        <v>45653</v>
      </c>
      <c r="S148" t="s">
        <v>2924</v>
      </c>
    </row>
    <row r="149" spans="1:19" x14ac:dyDescent="0.3">
      <c r="A149" s="9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 s="5">
        <v>0.1</v>
      </c>
      <c r="I149" t="s">
        <v>39</v>
      </c>
      <c r="J149" s="7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1">
        <v>45039</v>
      </c>
      <c r="R149" s="1">
        <v>45048</v>
      </c>
      <c r="S149" t="s">
        <v>2926</v>
      </c>
    </row>
    <row r="150" spans="1:19" x14ac:dyDescent="0.3">
      <c r="A150" s="9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 s="5">
        <v>0.05</v>
      </c>
      <c r="I150" t="s">
        <v>39</v>
      </c>
      <c r="J150" s="7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1">
        <v>45788</v>
      </c>
      <c r="R150" s="1">
        <v>45798</v>
      </c>
      <c r="S150" t="s">
        <v>2925</v>
      </c>
    </row>
    <row r="151" spans="1:19" x14ac:dyDescent="0.3">
      <c r="A151" s="9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 s="5">
        <v>0</v>
      </c>
      <c r="I151" t="s">
        <v>37</v>
      </c>
      <c r="J151" s="7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1">
        <v>45354</v>
      </c>
      <c r="R151" s="1">
        <v>45356</v>
      </c>
      <c r="S151" t="s">
        <v>2923</v>
      </c>
    </row>
    <row r="152" spans="1:19" x14ac:dyDescent="0.3">
      <c r="A152" s="9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 s="5">
        <v>0.15</v>
      </c>
      <c r="I152" t="s">
        <v>40</v>
      </c>
      <c r="J152" s="7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1">
        <v>45677</v>
      </c>
      <c r="R152" s="1">
        <v>45687</v>
      </c>
      <c r="S152" t="s">
        <v>2924</v>
      </c>
    </row>
    <row r="153" spans="1:19" x14ac:dyDescent="0.3">
      <c r="A153" s="9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 s="5">
        <v>0</v>
      </c>
      <c r="I153" t="s">
        <v>37</v>
      </c>
      <c r="J153" s="7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1">
        <v>45738</v>
      </c>
      <c r="R153" s="1">
        <v>45746</v>
      </c>
      <c r="S153" t="s">
        <v>2924</v>
      </c>
    </row>
    <row r="154" spans="1:19" x14ac:dyDescent="0.3">
      <c r="A154" s="9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 s="5">
        <v>0.15</v>
      </c>
      <c r="I154" t="s">
        <v>39</v>
      </c>
      <c r="J154" s="7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1">
        <v>45744</v>
      </c>
      <c r="R154" s="1">
        <v>45746</v>
      </c>
      <c r="S154" t="s">
        <v>2923</v>
      </c>
    </row>
    <row r="155" spans="1:19" x14ac:dyDescent="0.3">
      <c r="A155" s="9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 s="5">
        <v>0.05</v>
      </c>
      <c r="I155" t="s">
        <v>39</v>
      </c>
      <c r="J155" s="7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1">
        <v>45705</v>
      </c>
      <c r="R155" s="1">
        <v>45709</v>
      </c>
      <c r="S155" t="s">
        <v>2924</v>
      </c>
    </row>
    <row r="156" spans="1:19" x14ac:dyDescent="0.3">
      <c r="A156" s="9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 s="5">
        <v>0</v>
      </c>
      <c r="I156" t="s">
        <v>37</v>
      </c>
      <c r="J156" s="7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1">
        <v>45604</v>
      </c>
      <c r="R156" s="1">
        <v>45607</v>
      </c>
      <c r="S156" t="s">
        <v>2923</v>
      </c>
    </row>
    <row r="157" spans="1:19" x14ac:dyDescent="0.3">
      <c r="A157" s="9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 s="5">
        <v>0.05</v>
      </c>
      <c r="I157" t="s">
        <v>42</v>
      </c>
      <c r="J157" s="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1">
        <v>45368</v>
      </c>
      <c r="R157" s="1">
        <v>45372</v>
      </c>
      <c r="S157" t="s">
        <v>2923</v>
      </c>
    </row>
    <row r="158" spans="1:19" x14ac:dyDescent="0.3">
      <c r="A158" s="9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 s="5">
        <v>0.1</v>
      </c>
      <c r="I158" t="s">
        <v>42</v>
      </c>
      <c r="J158" s="7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1">
        <v>45167</v>
      </c>
      <c r="R158" s="1">
        <v>45170</v>
      </c>
      <c r="S158" t="s">
        <v>2923</v>
      </c>
    </row>
    <row r="159" spans="1:19" x14ac:dyDescent="0.3">
      <c r="A159" s="9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 s="5">
        <v>0</v>
      </c>
      <c r="I159" t="s">
        <v>40</v>
      </c>
      <c r="J159" s="7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1">
        <v>45099</v>
      </c>
      <c r="R159" s="1">
        <v>45107</v>
      </c>
      <c r="S159" t="s">
        <v>2923</v>
      </c>
    </row>
    <row r="160" spans="1:19" x14ac:dyDescent="0.3">
      <c r="A160" s="9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 s="5">
        <v>0</v>
      </c>
      <c r="I160" t="s">
        <v>38</v>
      </c>
      <c r="J160" s="7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1">
        <v>45346</v>
      </c>
      <c r="R160" s="1">
        <v>45352</v>
      </c>
      <c r="S160" t="s">
        <v>2923</v>
      </c>
    </row>
    <row r="161" spans="1:19" x14ac:dyDescent="0.3">
      <c r="A161" s="9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 s="5">
        <v>0.05</v>
      </c>
      <c r="I161" t="s">
        <v>38</v>
      </c>
      <c r="J161" s="7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1">
        <v>45392</v>
      </c>
      <c r="R161" s="1">
        <v>45397</v>
      </c>
      <c r="S161" t="s">
        <v>2924</v>
      </c>
    </row>
    <row r="162" spans="1:19" x14ac:dyDescent="0.3">
      <c r="A162" s="9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 s="5">
        <v>0</v>
      </c>
      <c r="I162" t="s">
        <v>38</v>
      </c>
      <c r="J162" s="7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1">
        <v>45060</v>
      </c>
      <c r="R162" s="1">
        <v>45065</v>
      </c>
      <c r="S162" t="s">
        <v>2923</v>
      </c>
    </row>
    <row r="163" spans="1:19" x14ac:dyDescent="0.3">
      <c r="A163" s="9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 s="5">
        <v>0.15</v>
      </c>
      <c r="I163" t="s">
        <v>37</v>
      </c>
      <c r="J163" s="7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1">
        <v>44996</v>
      </c>
      <c r="R163" s="1">
        <v>45003</v>
      </c>
      <c r="S163" t="s">
        <v>2923</v>
      </c>
    </row>
    <row r="164" spans="1:19" x14ac:dyDescent="0.3">
      <c r="A164" s="9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 s="5">
        <v>0</v>
      </c>
      <c r="I164" t="s">
        <v>37</v>
      </c>
      <c r="J164" s="7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1">
        <v>45528</v>
      </c>
      <c r="R164" s="1">
        <v>45530</v>
      </c>
      <c r="S164" t="s">
        <v>2925</v>
      </c>
    </row>
    <row r="165" spans="1:19" x14ac:dyDescent="0.3">
      <c r="A165" s="9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 s="5">
        <v>0.15</v>
      </c>
      <c r="I165" t="s">
        <v>42</v>
      </c>
      <c r="J165" s="7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1">
        <v>45345</v>
      </c>
      <c r="R165" s="1">
        <v>45352</v>
      </c>
      <c r="S165" t="s">
        <v>2923</v>
      </c>
    </row>
    <row r="166" spans="1:19" x14ac:dyDescent="0.3">
      <c r="A166" s="9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 s="5">
        <v>0.05</v>
      </c>
      <c r="I166" t="s">
        <v>37</v>
      </c>
      <c r="J166" s="7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1">
        <v>45321</v>
      </c>
      <c r="R166" s="1">
        <v>45328</v>
      </c>
      <c r="S166" t="s">
        <v>2924</v>
      </c>
    </row>
    <row r="167" spans="1:19" x14ac:dyDescent="0.3">
      <c r="A167" s="9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 s="5">
        <v>0.1</v>
      </c>
      <c r="I167" t="s">
        <v>39</v>
      </c>
      <c r="J167" s="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1">
        <v>45314</v>
      </c>
      <c r="R167" s="1">
        <v>45320</v>
      </c>
      <c r="S167" t="s">
        <v>2922</v>
      </c>
    </row>
    <row r="168" spans="1:19" x14ac:dyDescent="0.3">
      <c r="A168" s="9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 s="5">
        <v>0</v>
      </c>
      <c r="I168" t="s">
        <v>42</v>
      </c>
      <c r="J168" s="7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1">
        <v>44931</v>
      </c>
      <c r="R168" s="1">
        <v>44934</v>
      </c>
      <c r="S168" t="s">
        <v>2924</v>
      </c>
    </row>
    <row r="169" spans="1:19" x14ac:dyDescent="0.3">
      <c r="A169" s="9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 s="5">
        <v>0.05</v>
      </c>
      <c r="I169" t="s">
        <v>42</v>
      </c>
      <c r="J169" s="7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1">
        <v>45281</v>
      </c>
      <c r="R169" s="1">
        <v>45290</v>
      </c>
      <c r="S169" t="s">
        <v>2924</v>
      </c>
    </row>
    <row r="170" spans="1:19" x14ac:dyDescent="0.3">
      <c r="A170" s="9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 s="5">
        <v>0.05</v>
      </c>
      <c r="I170" t="s">
        <v>38</v>
      </c>
      <c r="J170" s="7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1">
        <v>45071</v>
      </c>
      <c r="R170" s="1">
        <v>45079</v>
      </c>
      <c r="S170" t="s">
        <v>2926</v>
      </c>
    </row>
    <row r="171" spans="1:19" x14ac:dyDescent="0.3">
      <c r="A171" s="9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 s="5">
        <v>0.15</v>
      </c>
      <c r="I171" t="s">
        <v>41</v>
      </c>
      <c r="J171" s="7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1">
        <v>45838</v>
      </c>
      <c r="R171" s="1">
        <v>45846</v>
      </c>
      <c r="S171" t="s">
        <v>2925</v>
      </c>
    </row>
    <row r="172" spans="1:19" x14ac:dyDescent="0.3">
      <c r="A172" s="9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 s="5">
        <v>0.05</v>
      </c>
      <c r="I172" t="s">
        <v>41</v>
      </c>
      <c r="J172" s="7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1">
        <v>45700</v>
      </c>
      <c r="R172" s="1">
        <v>45707</v>
      </c>
      <c r="S172" t="s">
        <v>2926</v>
      </c>
    </row>
    <row r="173" spans="1:19" x14ac:dyDescent="0.3">
      <c r="A173" s="9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 s="5">
        <v>0.1</v>
      </c>
      <c r="I173" t="s">
        <v>37</v>
      </c>
      <c r="J173" s="7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1">
        <v>45294</v>
      </c>
      <c r="R173" s="1">
        <v>45298</v>
      </c>
      <c r="S173" t="s">
        <v>2926</v>
      </c>
    </row>
    <row r="174" spans="1:19" x14ac:dyDescent="0.3">
      <c r="A174" s="9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 s="5">
        <v>0.1</v>
      </c>
      <c r="I174" t="s">
        <v>38</v>
      </c>
      <c r="J174" s="7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1">
        <v>44960</v>
      </c>
      <c r="R174" s="1">
        <v>44970</v>
      </c>
      <c r="S174" t="s">
        <v>2923</v>
      </c>
    </row>
    <row r="175" spans="1:19" x14ac:dyDescent="0.3">
      <c r="A175" s="9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 s="5">
        <v>0</v>
      </c>
      <c r="I175" t="s">
        <v>38</v>
      </c>
      <c r="J175" s="7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1">
        <v>45352</v>
      </c>
      <c r="R175" s="1">
        <v>45359</v>
      </c>
      <c r="S175" t="s">
        <v>2922</v>
      </c>
    </row>
    <row r="176" spans="1:19" x14ac:dyDescent="0.3">
      <c r="A176" s="9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 s="5">
        <v>0.05</v>
      </c>
      <c r="I176" t="s">
        <v>37</v>
      </c>
      <c r="J176" s="7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1">
        <v>45070</v>
      </c>
      <c r="R176" s="1">
        <v>45079</v>
      </c>
      <c r="S176" t="s">
        <v>2924</v>
      </c>
    </row>
    <row r="177" spans="1:19" x14ac:dyDescent="0.3">
      <c r="A177" s="9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 s="5">
        <v>0.05</v>
      </c>
      <c r="I177" t="s">
        <v>42</v>
      </c>
      <c r="J177" s="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1">
        <v>45830</v>
      </c>
      <c r="R177" s="1">
        <v>45836</v>
      </c>
      <c r="S177" t="s">
        <v>2924</v>
      </c>
    </row>
    <row r="178" spans="1:19" x14ac:dyDescent="0.3">
      <c r="A178" s="9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 s="5">
        <v>0.05</v>
      </c>
      <c r="I178" t="s">
        <v>41</v>
      </c>
      <c r="J178" s="7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1">
        <v>45026</v>
      </c>
      <c r="R178" s="1">
        <v>45030</v>
      </c>
      <c r="S178" t="s">
        <v>2924</v>
      </c>
    </row>
    <row r="179" spans="1:19" x14ac:dyDescent="0.3">
      <c r="A179" s="9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 s="5">
        <v>0</v>
      </c>
      <c r="I179" t="s">
        <v>40</v>
      </c>
      <c r="J179" s="7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1">
        <v>45720</v>
      </c>
      <c r="R179" s="1">
        <v>45726</v>
      </c>
      <c r="S179" t="s">
        <v>2925</v>
      </c>
    </row>
    <row r="180" spans="1:19" x14ac:dyDescent="0.3">
      <c r="A180" s="9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 s="5">
        <v>0.1</v>
      </c>
      <c r="I180" t="s">
        <v>39</v>
      </c>
      <c r="J180" s="7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1">
        <v>45484</v>
      </c>
      <c r="R180" s="1">
        <v>45493</v>
      </c>
      <c r="S180" t="s">
        <v>2922</v>
      </c>
    </row>
    <row r="181" spans="1:19" x14ac:dyDescent="0.3">
      <c r="A181" s="9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 s="5">
        <v>0</v>
      </c>
      <c r="I181" t="s">
        <v>42</v>
      </c>
      <c r="J181" s="7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1">
        <v>45521</v>
      </c>
      <c r="R181" s="1">
        <v>45524</v>
      </c>
      <c r="S181" t="s">
        <v>2922</v>
      </c>
    </row>
    <row r="182" spans="1:19" x14ac:dyDescent="0.3">
      <c r="A182" s="9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 s="5">
        <v>0.1</v>
      </c>
      <c r="I182" t="s">
        <v>38</v>
      </c>
      <c r="J182" s="7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1">
        <v>45838</v>
      </c>
      <c r="R182" s="1">
        <v>45847</v>
      </c>
      <c r="S182" t="s">
        <v>2924</v>
      </c>
    </row>
    <row r="183" spans="1:19" x14ac:dyDescent="0.3">
      <c r="A183" s="9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 s="5">
        <v>0.1</v>
      </c>
      <c r="I183" t="s">
        <v>42</v>
      </c>
      <c r="J183" s="7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1">
        <v>45602</v>
      </c>
      <c r="R183" s="1">
        <v>45609</v>
      </c>
      <c r="S183" t="s">
        <v>2923</v>
      </c>
    </row>
    <row r="184" spans="1:19" x14ac:dyDescent="0.3">
      <c r="A184" s="9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 s="5">
        <v>0</v>
      </c>
      <c r="I184" t="s">
        <v>41</v>
      </c>
      <c r="J184" s="7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1">
        <v>45748</v>
      </c>
      <c r="R184" s="1">
        <v>45751</v>
      </c>
      <c r="S184" t="s">
        <v>2922</v>
      </c>
    </row>
    <row r="185" spans="1:19" x14ac:dyDescent="0.3">
      <c r="A185" s="9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 s="5">
        <v>0.05</v>
      </c>
      <c r="I185" t="s">
        <v>39</v>
      </c>
      <c r="J185" s="7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1">
        <v>45474</v>
      </c>
      <c r="R185" s="1">
        <v>45479</v>
      </c>
      <c r="S185" t="s">
        <v>2926</v>
      </c>
    </row>
    <row r="186" spans="1:19" x14ac:dyDescent="0.3">
      <c r="A186" s="9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 s="5">
        <v>0.05</v>
      </c>
      <c r="I186" t="s">
        <v>42</v>
      </c>
      <c r="J186" s="7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1">
        <v>45269</v>
      </c>
      <c r="R186" s="1">
        <v>45278</v>
      </c>
      <c r="S186" t="s">
        <v>2926</v>
      </c>
    </row>
    <row r="187" spans="1:19" x14ac:dyDescent="0.3">
      <c r="A187" s="9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 s="5">
        <v>0.1</v>
      </c>
      <c r="I187" t="s">
        <v>40</v>
      </c>
      <c r="J187" s="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1">
        <v>45104</v>
      </c>
      <c r="R187" s="1">
        <v>45107</v>
      </c>
      <c r="S187" t="s">
        <v>2924</v>
      </c>
    </row>
    <row r="188" spans="1:19" x14ac:dyDescent="0.3">
      <c r="A188" s="9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 s="5">
        <v>0</v>
      </c>
      <c r="I188" t="s">
        <v>42</v>
      </c>
      <c r="J188" s="7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1">
        <v>45121</v>
      </c>
      <c r="R188" s="1">
        <v>45124</v>
      </c>
      <c r="S188" t="s">
        <v>2923</v>
      </c>
    </row>
    <row r="189" spans="1:19" x14ac:dyDescent="0.3">
      <c r="A189" s="9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 s="5">
        <v>0.15</v>
      </c>
      <c r="I189" t="s">
        <v>38</v>
      </c>
      <c r="J189" s="7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1">
        <v>44965</v>
      </c>
      <c r="R189" s="1">
        <v>44973</v>
      </c>
      <c r="S189" t="s">
        <v>2923</v>
      </c>
    </row>
    <row r="190" spans="1:19" x14ac:dyDescent="0.3">
      <c r="A190" s="9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 s="5">
        <v>0.15</v>
      </c>
      <c r="I190" t="s">
        <v>40</v>
      </c>
      <c r="J190" s="7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1">
        <v>45471</v>
      </c>
      <c r="R190" s="1">
        <v>45480</v>
      </c>
      <c r="S190" t="s">
        <v>2926</v>
      </c>
    </row>
    <row r="191" spans="1:19" x14ac:dyDescent="0.3">
      <c r="A191" s="9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 s="5">
        <v>0</v>
      </c>
      <c r="I191" t="s">
        <v>42</v>
      </c>
      <c r="J191" s="7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1">
        <v>45397</v>
      </c>
      <c r="R191" s="1">
        <v>45404</v>
      </c>
      <c r="S191" t="s">
        <v>2926</v>
      </c>
    </row>
    <row r="192" spans="1:19" x14ac:dyDescent="0.3">
      <c r="A192" s="9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 s="5">
        <v>0.05</v>
      </c>
      <c r="I192" t="s">
        <v>38</v>
      </c>
      <c r="J192" s="7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1">
        <v>45257</v>
      </c>
      <c r="R192" s="1">
        <v>45266</v>
      </c>
      <c r="S192" t="s">
        <v>2922</v>
      </c>
    </row>
    <row r="193" spans="1:19" x14ac:dyDescent="0.3">
      <c r="A193" s="9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 s="5">
        <v>0</v>
      </c>
      <c r="I193" t="s">
        <v>40</v>
      </c>
      <c r="J193" s="7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1">
        <v>45743</v>
      </c>
      <c r="R193" s="1">
        <v>45745</v>
      </c>
      <c r="S193" t="s">
        <v>2922</v>
      </c>
    </row>
    <row r="194" spans="1:19" x14ac:dyDescent="0.3">
      <c r="A194" s="9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 s="5">
        <v>0.1</v>
      </c>
      <c r="I194" t="s">
        <v>38</v>
      </c>
      <c r="J194" s="7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1">
        <v>45144</v>
      </c>
      <c r="R194" s="1">
        <v>45148</v>
      </c>
      <c r="S194" t="s">
        <v>2923</v>
      </c>
    </row>
    <row r="195" spans="1:19" x14ac:dyDescent="0.3">
      <c r="A195" s="9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 s="5">
        <v>0.15</v>
      </c>
      <c r="I195" t="s">
        <v>40</v>
      </c>
      <c r="J195" s="7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1">
        <v>45639</v>
      </c>
      <c r="R195" s="1">
        <v>45648</v>
      </c>
      <c r="S195" t="s">
        <v>2923</v>
      </c>
    </row>
    <row r="196" spans="1:19" x14ac:dyDescent="0.3">
      <c r="A196" s="9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 s="5">
        <v>0.15</v>
      </c>
      <c r="I196" t="s">
        <v>40</v>
      </c>
      <c r="J196" s="7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1">
        <v>45674</v>
      </c>
      <c r="R196" s="1">
        <v>45683</v>
      </c>
      <c r="S196" t="s">
        <v>2925</v>
      </c>
    </row>
    <row r="197" spans="1:19" x14ac:dyDescent="0.3">
      <c r="A197" s="9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 s="5">
        <v>0.1</v>
      </c>
      <c r="I197" t="s">
        <v>42</v>
      </c>
      <c r="J197" s="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1">
        <v>45256</v>
      </c>
      <c r="R197" s="1">
        <v>45262</v>
      </c>
      <c r="S197" t="s">
        <v>2926</v>
      </c>
    </row>
    <row r="198" spans="1:19" x14ac:dyDescent="0.3">
      <c r="A198" s="9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 s="5">
        <v>0.1</v>
      </c>
      <c r="I198" t="s">
        <v>39</v>
      </c>
      <c r="J198" s="7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1">
        <v>44971</v>
      </c>
      <c r="R198" s="1">
        <v>44975</v>
      </c>
      <c r="S198" t="s">
        <v>2922</v>
      </c>
    </row>
    <row r="199" spans="1:19" x14ac:dyDescent="0.3">
      <c r="A199" s="9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 s="5">
        <v>0</v>
      </c>
      <c r="I199" t="s">
        <v>41</v>
      </c>
      <c r="J199" s="7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1">
        <v>45690</v>
      </c>
      <c r="R199" s="1">
        <v>45694</v>
      </c>
      <c r="S199" t="s">
        <v>2925</v>
      </c>
    </row>
    <row r="200" spans="1:19" x14ac:dyDescent="0.3">
      <c r="A200" s="9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 s="5">
        <v>0.1</v>
      </c>
      <c r="I200" t="s">
        <v>40</v>
      </c>
      <c r="J200" s="7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1">
        <v>45027</v>
      </c>
      <c r="R200" s="1">
        <v>45036</v>
      </c>
      <c r="S200" t="s">
        <v>2926</v>
      </c>
    </row>
    <row r="201" spans="1:19" x14ac:dyDescent="0.3">
      <c r="A201" s="9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 s="5">
        <v>0.1</v>
      </c>
      <c r="I201" t="s">
        <v>37</v>
      </c>
      <c r="J201" s="7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1">
        <v>45481</v>
      </c>
      <c r="R201" s="1">
        <v>45486</v>
      </c>
      <c r="S201" t="s">
        <v>2924</v>
      </c>
    </row>
    <row r="202" spans="1:19" x14ac:dyDescent="0.3">
      <c r="A202" s="9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 s="5">
        <v>0.15</v>
      </c>
      <c r="I202" t="s">
        <v>38</v>
      </c>
      <c r="J202" s="7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1">
        <v>44965</v>
      </c>
      <c r="R202" s="1">
        <v>44971</v>
      </c>
      <c r="S202" t="s">
        <v>2925</v>
      </c>
    </row>
    <row r="203" spans="1:19" x14ac:dyDescent="0.3">
      <c r="A203" s="9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 s="5">
        <v>0</v>
      </c>
      <c r="I203" t="s">
        <v>37</v>
      </c>
      <c r="J203" s="7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1">
        <v>45391</v>
      </c>
      <c r="R203" s="1">
        <v>45398</v>
      </c>
      <c r="S203" t="s">
        <v>2926</v>
      </c>
    </row>
    <row r="204" spans="1:19" x14ac:dyDescent="0.3">
      <c r="A204" s="9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 s="5">
        <v>0.15</v>
      </c>
      <c r="I204" t="s">
        <v>39</v>
      </c>
      <c r="J204" s="7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1">
        <v>45152</v>
      </c>
      <c r="R204" s="1">
        <v>45156</v>
      </c>
      <c r="S204" t="s">
        <v>2925</v>
      </c>
    </row>
    <row r="205" spans="1:19" x14ac:dyDescent="0.3">
      <c r="A205" s="9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 s="5">
        <v>0.05</v>
      </c>
      <c r="I205" t="s">
        <v>39</v>
      </c>
      <c r="J205" s="7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1">
        <v>45537</v>
      </c>
      <c r="R205" s="1">
        <v>45541</v>
      </c>
      <c r="S205" t="s">
        <v>2926</v>
      </c>
    </row>
    <row r="206" spans="1:19" x14ac:dyDescent="0.3">
      <c r="A206" s="9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 s="5">
        <v>0.15</v>
      </c>
      <c r="I206" t="s">
        <v>38</v>
      </c>
      <c r="J206" s="7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1">
        <v>45837</v>
      </c>
      <c r="R206" s="1">
        <v>45842</v>
      </c>
      <c r="S206" t="s">
        <v>2925</v>
      </c>
    </row>
    <row r="207" spans="1:19" x14ac:dyDescent="0.3">
      <c r="A207" s="9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 s="5">
        <v>0.05</v>
      </c>
      <c r="I207" t="s">
        <v>41</v>
      </c>
      <c r="J207" s="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1">
        <v>45749</v>
      </c>
      <c r="R207" s="1">
        <v>45755</v>
      </c>
      <c r="S207" t="s">
        <v>2926</v>
      </c>
    </row>
    <row r="208" spans="1:19" x14ac:dyDescent="0.3">
      <c r="A208" s="9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 s="5">
        <v>0</v>
      </c>
      <c r="I208" t="s">
        <v>40</v>
      </c>
      <c r="J208" s="7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1">
        <v>45043</v>
      </c>
      <c r="R208" s="1">
        <v>45053</v>
      </c>
      <c r="S208" t="s">
        <v>2925</v>
      </c>
    </row>
    <row r="209" spans="1:19" x14ac:dyDescent="0.3">
      <c r="A209" s="9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 s="5">
        <v>0</v>
      </c>
      <c r="I209" t="s">
        <v>40</v>
      </c>
      <c r="J209" s="7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1">
        <v>45511</v>
      </c>
      <c r="R209" s="1">
        <v>45521</v>
      </c>
      <c r="S209" t="s">
        <v>2922</v>
      </c>
    </row>
    <row r="210" spans="1:19" x14ac:dyDescent="0.3">
      <c r="A210" s="9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 s="5">
        <v>0.1</v>
      </c>
      <c r="I210" t="s">
        <v>39</v>
      </c>
      <c r="J210" s="7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1">
        <v>45031</v>
      </c>
      <c r="R210" s="1">
        <v>45041</v>
      </c>
      <c r="S210" t="s">
        <v>2926</v>
      </c>
    </row>
    <row r="211" spans="1:19" x14ac:dyDescent="0.3">
      <c r="A211" s="9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 s="5">
        <v>0.05</v>
      </c>
      <c r="I211" t="s">
        <v>37</v>
      </c>
      <c r="J211" s="7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1">
        <v>45150</v>
      </c>
      <c r="R211" s="1">
        <v>45153</v>
      </c>
      <c r="S211" t="s">
        <v>2923</v>
      </c>
    </row>
    <row r="212" spans="1:19" x14ac:dyDescent="0.3">
      <c r="A212" s="9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 s="5">
        <v>0.15</v>
      </c>
      <c r="I212" t="s">
        <v>42</v>
      </c>
      <c r="J212" s="7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1">
        <v>45096</v>
      </c>
      <c r="R212" s="1">
        <v>45105</v>
      </c>
      <c r="S212" t="s">
        <v>2926</v>
      </c>
    </row>
    <row r="213" spans="1:19" x14ac:dyDescent="0.3">
      <c r="A213" s="9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 s="5">
        <v>0.1</v>
      </c>
      <c r="I213" t="s">
        <v>37</v>
      </c>
      <c r="J213" s="7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1">
        <v>45289</v>
      </c>
      <c r="R213" s="1">
        <v>45298</v>
      </c>
      <c r="S213" t="s">
        <v>2922</v>
      </c>
    </row>
    <row r="214" spans="1:19" x14ac:dyDescent="0.3">
      <c r="A214" s="9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 s="5">
        <v>0.15</v>
      </c>
      <c r="I214" t="s">
        <v>42</v>
      </c>
      <c r="J214" s="7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1">
        <v>45011</v>
      </c>
      <c r="R214" s="1">
        <v>45015</v>
      </c>
      <c r="S214" t="s">
        <v>2922</v>
      </c>
    </row>
    <row r="215" spans="1:19" x14ac:dyDescent="0.3">
      <c r="A215" s="9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 s="5">
        <v>0.15</v>
      </c>
      <c r="I215" t="s">
        <v>39</v>
      </c>
      <c r="J215" s="7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1">
        <v>45170</v>
      </c>
      <c r="R215" s="1">
        <v>45176</v>
      </c>
      <c r="S215" t="s">
        <v>2923</v>
      </c>
    </row>
    <row r="216" spans="1:19" x14ac:dyDescent="0.3">
      <c r="A216" s="9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 s="5">
        <v>0.1</v>
      </c>
      <c r="I216" t="s">
        <v>39</v>
      </c>
      <c r="J216" s="7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1">
        <v>45509</v>
      </c>
      <c r="R216" s="1">
        <v>45517</v>
      </c>
      <c r="S216" t="s">
        <v>2926</v>
      </c>
    </row>
    <row r="217" spans="1:19" x14ac:dyDescent="0.3">
      <c r="A217" s="9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 s="5">
        <v>0</v>
      </c>
      <c r="I217" t="s">
        <v>39</v>
      </c>
      <c r="J217" s="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1">
        <v>45680</v>
      </c>
      <c r="R217" s="1">
        <v>45684</v>
      </c>
      <c r="S217" t="s">
        <v>2924</v>
      </c>
    </row>
    <row r="218" spans="1:19" x14ac:dyDescent="0.3">
      <c r="A218" s="9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 s="5">
        <v>0.1</v>
      </c>
      <c r="I218" t="s">
        <v>40</v>
      </c>
      <c r="J218" s="7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1">
        <v>45062</v>
      </c>
      <c r="R218" s="1">
        <v>45069</v>
      </c>
      <c r="S218" t="s">
        <v>2922</v>
      </c>
    </row>
    <row r="219" spans="1:19" x14ac:dyDescent="0.3">
      <c r="A219" s="9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 s="5">
        <v>0.15</v>
      </c>
      <c r="I219" t="s">
        <v>40</v>
      </c>
      <c r="J219" s="7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1">
        <v>44971</v>
      </c>
      <c r="R219" s="1">
        <v>44979</v>
      </c>
      <c r="S219" t="s">
        <v>2924</v>
      </c>
    </row>
    <row r="220" spans="1:19" x14ac:dyDescent="0.3">
      <c r="A220" s="9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 s="5">
        <v>0.15</v>
      </c>
      <c r="I220" t="s">
        <v>37</v>
      </c>
      <c r="J220" s="7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1">
        <v>45446</v>
      </c>
      <c r="R220" s="1">
        <v>45455</v>
      </c>
      <c r="S220" t="s">
        <v>2925</v>
      </c>
    </row>
    <row r="221" spans="1:19" x14ac:dyDescent="0.3">
      <c r="A221" s="9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 s="5">
        <v>0.05</v>
      </c>
      <c r="I221" t="s">
        <v>41</v>
      </c>
      <c r="J221" s="7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1">
        <v>45238</v>
      </c>
      <c r="R221" s="1">
        <v>45245</v>
      </c>
      <c r="S221" t="s">
        <v>2925</v>
      </c>
    </row>
    <row r="222" spans="1:19" x14ac:dyDescent="0.3">
      <c r="A222" s="9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 s="5">
        <v>0</v>
      </c>
      <c r="I222" t="s">
        <v>41</v>
      </c>
      <c r="J222" s="7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1">
        <v>44950</v>
      </c>
      <c r="R222" s="1">
        <v>44952</v>
      </c>
      <c r="S222" t="s">
        <v>2926</v>
      </c>
    </row>
    <row r="223" spans="1:19" x14ac:dyDescent="0.3">
      <c r="A223" s="9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 s="5">
        <v>0.05</v>
      </c>
      <c r="I223" t="s">
        <v>41</v>
      </c>
      <c r="J223" s="7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1">
        <v>45736</v>
      </c>
      <c r="R223" s="1">
        <v>45744</v>
      </c>
      <c r="S223" t="s">
        <v>2926</v>
      </c>
    </row>
    <row r="224" spans="1:19" x14ac:dyDescent="0.3">
      <c r="A224" s="9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 s="5">
        <v>0.05</v>
      </c>
      <c r="I224" t="s">
        <v>39</v>
      </c>
      <c r="J224" s="7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1">
        <v>45344</v>
      </c>
      <c r="R224" s="1">
        <v>45352</v>
      </c>
      <c r="S224" t="s">
        <v>2926</v>
      </c>
    </row>
    <row r="225" spans="1:19" x14ac:dyDescent="0.3">
      <c r="A225" s="9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 s="5">
        <v>0.15</v>
      </c>
      <c r="I225" t="s">
        <v>42</v>
      </c>
      <c r="J225" s="7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1">
        <v>45749</v>
      </c>
      <c r="R225" s="1">
        <v>45757</v>
      </c>
      <c r="S225" t="s">
        <v>2924</v>
      </c>
    </row>
    <row r="226" spans="1:19" x14ac:dyDescent="0.3">
      <c r="A226" s="9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 s="5">
        <v>0.1</v>
      </c>
      <c r="I226" t="s">
        <v>37</v>
      </c>
      <c r="J226" s="7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1">
        <v>45820</v>
      </c>
      <c r="R226" s="1">
        <v>45826</v>
      </c>
      <c r="S226" t="s">
        <v>2924</v>
      </c>
    </row>
    <row r="227" spans="1:19" x14ac:dyDescent="0.3">
      <c r="A227" s="9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 s="5">
        <v>0.15</v>
      </c>
      <c r="I227" t="s">
        <v>39</v>
      </c>
      <c r="J227" s="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1">
        <v>45059</v>
      </c>
      <c r="R227" s="1">
        <v>45063</v>
      </c>
      <c r="S227" t="s">
        <v>2922</v>
      </c>
    </row>
    <row r="228" spans="1:19" x14ac:dyDescent="0.3">
      <c r="A228" s="9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 s="5">
        <v>0</v>
      </c>
      <c r="I228" t="s">
        <v>38</v>
      </c>
      <c r="J228" s="7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1">
        <v>45010</v>
      </c>
      <c r="R228" s="1">
        <v>45013</v>
      </c>
      <c r="S228" t="s">
        <v>2923</v>
      </c>
    </row>
    <row r="229" spans="1:19" x14ac:dyDescent="0.3">
      <c r="A229" s="9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 s="5">
        <v>0.15</v>
      </c>
      <c r="I229" t="s">
        <v>39</v>
      </c>
      <c r="J229" s="7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1">
        <v>45618</v>
      </c>
      <c r="R229" s="1">
        <v>45621</v>
      </c>
      <c r="S229" t="s">
        <v>2923</v>
      </c>
    </row>
    <row r="230" spans="1:19" x14ac:dyDescent="0.3">
      <c r="A230" s="9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 s="5">
        <v>0</v>
      </c>
      <c r="I230" t="s">
        <v>38</v>
      </c>
      <c r="J230" s="7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1">
        <v>45114</v>
      </c>
      <c r="R230" s="1">
        <v>45124</v>
      </c>
      <c r="S230" t="s">
        <v>2922</v>
      </c>
    </row>
    <row r="231" spans="1:19" x14ac:dyDescent="0.3">
      <c r="A231" s="9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 s="5">
        <v>0.05</v>
      </c>
      <c r="I231" t="s">
        <v>37</v>
      </c>
      <c r="J231" s="7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1">
        <v>45570</v>
      </c>
      <c r="R231" s="1">
        <v>45574</v>
      </c>
      <c r="S231" t="s">
        <v>2922</v>
      </c>
    </row>
    <row r="232" spans="1:19" x14ac:dyDescent="0.3">
      <c r="A232" s="9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 s="5">
        <v>0</v>
      </c>
      <c r="I232" t="s">
        <v>41</v>
      </c>
      <c r="J232" s="7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1">
        <v>45382</v>
      </c>
      <c r="R232" s="1">
        <v>45390</v>
      </c>
      <c r="S232" t="s">
        <v>2926</v>
      </c>
    </row>
    <row r="233" spans="1:19" x14ac:dyDescent="0.3">
      <c r="A233" s="9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 s="5">
        <v>0.05</v>
      </c>
      <c r="I233" t="s">
        <v>40</v>
      </c>
      <c r="J233" s="7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1">
        <v>45748</v>
      </c>
      <c r="R233" s="1">
        <v>45751</v>
      </c>
      <c r="S233" t="s">
        <v>2926</v>
      </c>
    </row>
    <row r="234" spans="1:19" x14ac:dyDescent="0.3">
      <c r="A234" s="9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 s="5">
        <v>0.05</v>
      </c>
      <c r="I234" t="s">
        <v>40</v>
      </c>
      <c r="J234" s="7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1">
        <v>45161</v>
      </c>
      <c r="R234" s="1">
        <v>45164</v>
      </c>
      <c r="S234" t="s">
        <v>2926</v>
      </c>
    </row>
    <row r="235" spans="1:19" x14ac:dyDescent="0.3">
      <c r="A235" s="9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 s="5">
        <v>0.1</v>
      </c>
      <c r="I235" t="s">
        <v>40</v>
      </c>
      <c r="J235" s="7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1">
        <v>45518</v>
      </c>
      <c r="R235" s="1">
        <v>45525</v>
      </c>
      <c r="S235" t="s">
        <v>2923</v>
      </c>
    </row>
    <row r="236" spans="1:19" x14ac:dyDescent="0.3">
      <c r="A236" s="9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 s="5">
        <v>0.15</v>
      </c>
      <c r="I236" t="s">
        <v>38</v>
      </c>
      <c r="J236" s="7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1">
        <v>45702</v>
      </c>
      <c r="R236" s="1">
        <v>45707</v>
      </c>
      <c r="S236" t="s">
        <v>2925</v>
      </c>
    </row>
    <row r="237" spans="1:19" x14ac:dyDescent="0.3">
      <c r="A237" s="9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 s="5">
        <v>0.1</v>
      </c>
      <c r="I237" t="s">
        <v>41</v>
      </c>
      <c r="J237" s="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1">
        <v>45241</v>
      </c>
      <c r="R237" s="1">
        <v>45246</v>
      </c>
      <c r="S237" t="s">
        <v>2926</v>
      </c>
    </row>
    <row r="238" spans="1:19" x14ac:dyDescent="0.3">
      <c r="A238" s="9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 s="5">
        <v>0.15</v>
      </c>
      <c r="I238" t="s">
        <v>40</v>
      </c>
      <c r="J238" s="7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1">
        <v>45383</v>
      </c>
      <c r="R238" s="1">
        <v>45391</v>
      </c>
      <c r="S238" t="s">
        <v>2925</v>
      </c>
    </row>
    <row r="239" spans="1:19" x14ac:dyDescent="0.3">
      <c r="A239" s="9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 s="5">
        <v>0.05</v>
      </c>
      <c r="I239" t="s">
        <v>41</v>
      </c>
      <c r="J239" s="7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1">
        <v>45456</v>
      </c>
      <c r="R239" s="1">
        <v>45463</v>
      </c>
      <c r="S239" t="s">
        <v>2923</v>
      </c>
    </row>
    <row r="240" spans="1:19" x14ac:dyDescent="0.3">
      <c r="A240" s="9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 s="5">
        <v>0.1</v>
      </c>
      <c r="I240" t="s">
        <v>39</v>
      </c>
      <c r="J240" s="7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1">
        <v>45258</v>
      </c>
      <c r="R240" s="1">
        <v>45263</v>
      </c>
      <c r="S240" t="s">
        <v>2924</v>
      </c>
    </row>
    <row r="241" spans="1:19" x14ac:dyDescent="0.3">
      <c r="A241" s="9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 s="5">
        <v>0.1</v>
      </c>
      <c r="I241" t="s">
        <v>42</v>
      </c>
      <c r="J241" s="7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1">
        <v>45607</v>
      </c>
      <c r="R241" s="1">
        <v>45612</v>
      </c>
      <c r="S241" t="s">
        <v>2925</v>
      </c>
    </row>
    <row r="242" spans="1:19" x14ac:dyDescent="0.3">
      <c r="A242" s="9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 s="5">
        <v>0</v>
      </c>
      <c r="I242" t="s">
        <v>38</v>
      </c>
      <c r="J242" s="7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1">
        <v>45600</v>
      </c>
      <c r="R242" s="1">
        <v>45604</v>
      </c>
      <c r="S242" t="s">
        <v>2924</v>
      </c>
    </row>
    <row r="243" spans="1:19" x14ac:dyDescent="0.3">
      <c r="A243" s="9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 s="5">
        <v>0</v>
      </c>
      <c r="I243" t="s">
        <v>40</v>
      </c>
      <c r="J243" s="7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1">
        <v>44927</v>
      </c>
      <c r="R243" s="1">
        <v>44937</v>
      </c>
      <c r="S243" t="s">
        <v>2925</v>
      </c>
    </row>
    <row r="244" spans="1:19" x14ac:dyDescent="0.3">
      <c r="A244" s="9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 s="5">
        <v>0.1</v>
      </c>
      <c r="I244" t="s">
        <v>37</v>
      </c>
      <c r="J244" s="7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1">
        <v>45675</v>
      </c>
      <c r="R244" s="1">
        <v>45677</v>
      </c>
      <c r="S244" t="s">
        <v>2924</v>
      </c>
    </row>
    <row r="245" spans="1:19" x14ac:dyDescent="0.3">
      <c r="A245" s="9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 s="5">
        <v>0.05</v>
      </c>
      <c r="I245" t="s">
        <v>37</v>
      </c>
      <c r="J245" s="7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1">
        <v>45048</v>
      </c>
      <c r="R245" s="1">
        <v>45056</v>
      </c>
      <c r="S245" t="s">
        <v>2925</v>
      </c>
    </row>
    <row r="246" spans="1:19" x14ac:dyDescent="0.3">
      <c r="A246" s="9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 s="5">
        <v>0.15</v>
      </c>
      <c r="I246" t="s">
        <v>39</v>
      </c>
      <c r="J246" s="7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1">
        <v>45804</v>
      </c>
      <c r="R246" s="1">
        <v>45810</v>
      </c>
      <c r="S246" t="s">
        <v>2926</v>
      </c>
    </row>
    <row r="247" spans="1:19" x14ac:dyDescent="0.3">
      <c r="A247" s="9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 s="5">
        <v>0.1</v>
      </c>
      <c r="I247" t="s">
        <v>41</v>
      </c>
      <c r="J247" s="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1">
        <v>45653</v>
      </c>
      <c r="R247" s="1">
        <v>45662</v>
      </c>
      <c r="S247" t="s">
        <v>2923</v>
      </c>
    </row>
    <row r="248" spans="1:19" x14ac:dyDescent="0.3">
      <c r="A248" s="9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 s="5">
        <v>0.1</v>
      </c>
      <c r="I248" t="s">
        <v>37</v>
      </c>
      <c r="J248" s="7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1">
        <v>45734</v>
      </c>
      <c r="R248" s="1">
        <v>45740</v>
      </c>
      <c r="S248" t="s">
        <v>2926</v>
      </c>
    </row>
    <row r="249" spans="1:19" x14ac:dyDescent="0.3">
      <c r="A249" s="9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 s="5">
        <v>0</v>
      </c>
      <c r="I249" t="s">
        <v>41</v>
      </c>
      <c r="J249" s="7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1">
        <v>45375</v>
      </c>
      <c r="R249" s="1">
        <v>45382</v>
      </c>
      <c r="S249" t="s">
        <v>2922</v>
      </c>
    </row>
    <row r="250" spans="1:19" x14ac:dyDescent="0.3">
      <c r="A250" s="9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 s="5">
        <v>0.05</v>
      </c>
      <c r="I250" t="s">
        <v>42</v>
      </c>
      <c r="J250" s="7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1">
        <v>45652</v>
      </c>
      <c r="R250" s="1">
        <v>45660</v>
      </c>
      <c r="S250" t="s">
        <v>2922</v>
      </c>
    </row>
    <row r="251" spans="1:19" x14ac:dyDescent="0.3">
      <c r="A251" s="9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 s="5">
        <v>0.05</v>
      </c>
      <c r="I251" t="s">
        <v>37</v>
      </c>
      <c r="J251" s="7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1">
        <v>44937</v>
      </c>
      <c r="R251" s="1">
        <v>44940</v>
      </c>
      <c r="S251" t="s">
        <v>2924</v>
      </c>
    </row>
    <row r="252" spans="1:19" x14ac:dyDescent="0.3">
      <c r="A252" s="9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 s="5">
        <v>0.15</v>
      </c>
      <c r="I252" t="s">
        <v>39</v>
      </c>
      <c r="J252" s="7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1">
        <v>45809</v>
      </c>
      <c r="R252" s="1">
        <v>45818</v>
      </c>
      <c r="S252" t="s">
        <v>2923</v>
      </c>
    </row>
    <row r="253" spans="1:19" x14ac:dyDescent="0.3">
      <c r="A253" s="9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 s="5">
        <v>0.15</v>
      </c>
      <c r="I253" t="s">
        <v>40</v>
      </c>
      <c r="J253" s="7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1">
        <v>45561</v>
      </c>
      <c r="R253" s="1">
        <v>45566</v>
      </c>
      <c r="S253" t="s">
        <v>2922</v>
      </c>
    </row>
    <row r="254" spans="1:19" x14ac:dyDescent="0.3">
      <c r="A254" s="9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 s="5">
        <v>0.1</v>
      </c>
      <c r="I254" t="s">
        <v>41</v>
      </c>
      <c r="J254" s="7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1">
        <v>45514</v>
      </c>
      <c r="R254" s="1">
        <v>45521</v>
      </c>
      <c r="S254" t="s">
        <v>2922</v>
      </c>
    </row>
    <row r="255" spans="1:19" x14ac:dyDescent="0.3">
      <c r="A255" s="9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 s="5">
        <v>0.1</v>
      </c>
      <c r="I255" t="s">
        <v>39</v>
      </c>
      <c r="J255" s="7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1">
        <v>45718</v>
      </c>
      <c r="R255" s="1">
        <v>45726</v>
      </c>
      <c r="S255" t="s">
        <v>2923</v>
      </c>
    </row>
    <row r="256" spans="1:19" x14ac:dyDescent="0.3">
      <c r="A256" s="9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 s="5">
        <v>0</v>
      </c>
      <c r="I256" t="s">
        <v>40</v>
      </c>
      <c r="J256" s="7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1">
        <v>44978</v>
      </c>
      <c r="R256" s="1">
        <v>44987</v>
      </c>
      <c r="S256" t="s">
        <v>2922</v>
      </c>
    </row>
    <row r="257" spans="1:19" x14ac:dyDescent="0.3">
      <c r="A257" s="9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 s="5">
        <v>0</v>
      </c>
      <c r="I257" t="s">
        <v>38</v>
      </c>
      <c r="J257" s="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1">
        <v>45616</v>
      </c>
      <c r="R257" s="1">
        <v>45623</v>
      </c>
      <c r="S257" t="s">
        <v>2922</v>
      </c>
    </row>
    <row r="258" spans="1:19" x14ac:dyDescent="0.3">
      <c r="A258" s="9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 s="5">
        <v>0</v>
      </c>
      <c r="I258" t="s">
        <v>41</v>
      </c>
      <c r="J258" s="7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1">
        <v>45164</v>
      </c>
      <c r="R258" s="1">
        <v>45167</v>
      </c>
      <c r="S258" t="s">
        <v>2922</v>
      </c>
    </row>
    <row r="259" spans="1:19" x14ac:dyDescent="0.3">
      <c r="A259" s="9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 s="5">
        <v>0</v>
      </c>
      <c r="I259" t="s">
        <v>39</v>
      </c>
      <c r="J259" s="7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1">
        <v>45292</v>
      </c>
      <c r="R259" s="1">
        <v>45299</v>
      </c>
      <c r="S259" t="s">
        <v>2923</v>
      </c>
    </row>
    <row r="260" spans="1:19" x14ac:dyDescent="0.3">
      <c r="A260" s="9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 s="5">
        <v>0.05</v>
      </c>
      <c r="I260" t="s">
        <v>41</v>
      </c>
      <c r="J260" s="7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1">
        <v>45620</v>
      </c>
      <c r="R260" s="1">
        <v>45626</v>
      </c>
      <c r="S260" t="s">
        <v>2923</v>
      </c>
    </row>
    <row r="261" spans="1:19" x14ac:dyDescent="0.3">
      <c r="A261" s="9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 s="5">
        <v>0.15</v>
      </c>
      <c r="I261" t="s">
        <v>41</v>
      </c>
      <c r="J261" s="7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1">
        <v>45529</v>
      </c>
      <c r="R261" s="1">
        <v>45536</v>
      </c>
      <c r="S261" t="s">
        <v>2923</v>
      </c>
    </row>
    <row r="262" spans="1:19" x14ac:dyDescent="0.3">
      <c r="A262" s="9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 s="5">
        <v>0.15</v>
      </c>
      <c r="I262" t="s">
        <v>40</v>
      </c>
      <c r="J262" s="7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1">
        <v>45087</v>
      </c>
      <c r="R262" s="1">
        <v>45095</v>
      </c>
      <c r="S262" t="s">
        <v>2923</v>
      </c>
    </row>
    <row r="263" spans="1:19" x14ac:dyDescent="0.3">
      <c r="A263" s="9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 s="5">
        <v>0.1</v>
      </c>
      <c r="I263" t="s">
        <v>40</v>
      </c>
      <c r="J263" s="7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1">
        <v>45644</v>
      </c>
      <c r="R263" s="1">
        <v>45652</v>
      </c>
      <c r="S263" t="s">
        <v>2924</v>
      </c>
    </row>
    <row r="264" spans="1:19" x14ac:dyDescent="0.3">
      <c r="A264" s="9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 s="5">
        <v>0.05</v>
      </c>
      <c r="I264" t="s">
        <v>39</v>
      </c>
      <c r="J264" s="7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1">
        <v>45166</v>
      </c>
      <c r="R264" s="1">
        <v>45170</v>
      </c>
      <c r="S264" t="s">
        <v>2922</v>
      </c>
    </row>
    <row r="265" spans="1:19" x14ac:dyDescent="0.3">
      <c r="A265" s="9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 s="5">
        <v>0</v>
      </c>
      <c r="I265" t="s">
        <v>37</v>
      </c>
      <c r="J265" s="7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1">
        <v>44948</v>
      </c>
      <c r="R265" s="1">
        <v>44957</v>
      </c>
      <c r="S265" t="s">
        <v>2926</v>
      </c>
    </row>
    <row r="266" spans="1:19" x14ac:dyDescent="0.3">
      <c r="A266" s="9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 s="5">
        <v>0.15</v>
      </c>
      <c r="I266" t="s">
        <v>39</v>
      </c>
      <c r="J266" s="7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1">
        <v>44964</v>
      </c>
      <c r="R266" s="1">
        <v>44971</v>
      </c>
      <c r="S266" t="s">
        <v>2924</v>
      </c>
    </row>
    <row r="267" spans="1:19" x14ac:dyDescent="0.3">
      <c r="A267" s="9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 s="5">
        <v>0.05</v>
      </c>
      <c r="I267" t="s">
        <v>39</v>
      </c>
      <c r="J267" s="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1">
        <v>45252</v>
      </c>
      <c r="R267" s="1">
        <v>45259</v>
      </c>
      <c r="S267" t="s">
        <v>2923</v>
      </c>
    </row>
    <row r="268" spans="1:19" x14ac:dyDescent="0.3">
      <c r="A268" s="9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 s="5">
        <v>0.15</v>
      </c>
      <c r="I268" t="s">
        <v>40</v>
      </c>
      <c r="J268" s="7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1">
        <v>44951</v>
      </c>
      <c r="R268" s="1">
        <v>44955</v>
      </c>
      <c r="S268" t="s">
        <v>2926</v>
      </c>
    </row>
    <row r="269" spans="1:19" x14ac:dyDescent="0.3">
      <c r="A269" s="9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 s="5">
        <v>0.05</v>
      </c>
      <c r="I269" t="s">
        <v>41</v>
      </c>
      <c r="J269" s="7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1">
        <v>45721</v>
      </c>
      <c r="R269" s="1">
        <v>45725</v>
      </c>
      <c r="S269" t="s">
        <v>2923</v>
      </c>
    </row>
    <row r="270" spans="1:19" x14ac:dyDescent="0.3">
      <c r="A270" s="9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 s="5">
        <v>0.1</v>
      </c>
      <c r="I270" t="s">
        <v>42</v>
      </c>
      <c r="J270" s="7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1">
        <v>44959</v>
      </c>
      <c r="R270" s="1">
        <v>44969</v>
      </c>
      <c r="S270" t="s">
        <v>2924</v>
      </c>
    </row>
    <row r="271" spans="1:19" x14ac:dyDescent="0.3">
      <c r="A271" s="9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 s="5">
        <v>0.1</v>
      </c>
      <c r="I271" t="s">
        <v>38</v>
      </c>
      <c r="J271" s="7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1">
        <v>45070</v>
      </c>
      <c r="R271" s="1">
        <v>45078</v>
      </c>
      <c r="S271" t="s">
        <v>2924</v>
      </c>
    </row>
    <row r="272" spans="1:19" x14ac:dyDescent="0.3">
      <c r="A272" s="9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 s="5">
        <v>0.15</v>
      </c>
      <c r="I272" t="s">
        <v>41</v>
      </c>
      <c r="J272" s="7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1">
        <v>45442</v>
      </c>
      <c r="R272" s="1">
        <v>45449</v>
      </c>
      <c r="S272" t="s">
        <v>2923</v>
      </c>
    </row>
    <row r="273" spans="1:19" x14ac:dyDescent="0.3">
      <c r="A273" s="9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 s="5">
        <v>0.15</v>
      </c>
      <c r="I273" t="s">
        <v>37</v>
      </c>
      <c r="J273" s="7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1">
        <v>45314</v>
      </c>
      <c r="R273" s="1">
        <v>45322</v>
      </c>
      <c r="S273" t="s">
        <v>2926</v>
      </c>
    </row>
    <row r="274" spans="1:19" x14ac:dyDescent="0.3">
      <c r="A274" s="9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 s="5">
        <v>0.15</v>
      </c>
      <c r="I274" t="s">
        <v>42</v>
      </c>
      <c r="J274" s="7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1">
        <v>44963</v>
      </c>
      <c r="R274" s="1">
        <v>44972</v>
      </c>
      <c r="S274" t="s">
        <v>2924</v>
      </c>
    </row>
    <row r="275" spans="1:19" x14ac:dyDescent="0.3">
      <c r="A275" s="9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 s="5">
        <v>0.05</v>
      </c>
      <c r="I275" t="s">
        <v>40</v>
      </c>
      <c r="J275" s="7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1">
        <v>45488</v>
      </c>
      <c r="R275" s="1">
        <v>45492</v>
      </c>
      <c r="S275" t="s">
        <v>2926</v>
      </c>
    </row>
    <row r="276" spans="1:19" x14ac:dyDescent="0.3">
      <c r="A276" s="9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 s="5">
        <v>0.1</v>
      </c>
      <c r="I276" t="s">
        <v>39</v>
      </c>
      <c r="J276" s="7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1">
        <v>45722</v>
      </c>
      <c r="R276" s="1">
        <v>45732</v>
      </c>
      <c r="S276" t="s">
        <v>2922</v>
      </c>
    </row>
    <row r="277" spans="1:19" x14ac:dyDescent="0.3">
      <c r="A277" s="9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 s="5">
        <v>0.1</v>
      </c>
      <c r="I277" t="s">
        <v>39</v>
      </c>
      <c r="J277" s="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1">
        <v>45136</v>
      </c>
      <c r="R277" s="1">
        <v>45146</v>
      </c>
      <c r="S277" t="s">
        <v>2925</v>
      </c>
    </row>
    <row r="278" spans="1:19" x14ac:dyDescent="0.3">
      <c r="A278" s="9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 s="5">
        <v>0.1</v>
      </c>
      <c r="I278" t="s">
        <v>42</v>
      </c>
      <c r="J278" s="7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1">
        <v>45133</v>
      </c>
      <c r="R278" s="1">
        <v>45136</v>
      </c>
      <c r="S278" t="s">
        <v>2924</v>
      </c>
    </row>
    <row r="279" spans="1:19" x14ac:dyDescent="0.3">
      <c r="A279" s="9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 s="5">
        <v>0.1</v>
      </c>
      <c r="I279" t="s">
        <v>41</v>
      </c>
      <c r="J279" s="7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1">
        <v>45392</v>
      </c>
      <c r="R279" s="1">
        <v>45395</v>
      </c>
      <c r="S279" t="s">
        <v>2926</v>
      </c>
    </row>
    <row r="280" spans="1:19" x14ac:dyDescent="0.3">
      <c r="A280" s="9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 s="5">
        <v>0</v>
      </c>
      <c r="I280" t="s">
        <v>40</v>
      </c>
      <c r="J280" s="7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1">
        <v>45681</v>
      </c>
      <c r="R280" s="1">
        <v>45684</v>
      </c>
      <c r="S280" t="s">
        <v>2924</v>
      </c>
    </row>
    <row r="281" spans="1:19" x14ac:dyDescent="0.3">
      <c r="A281" s="9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 s="5">
        <v>0.1</v>
      </c>
      <c r="I281" t="s">
        <v>41</v>
      </c>
      <c r="J281" s="7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1">
        <v>45774</v>
      </c>
      <c r="R281" s="1">
        <v>45780</v>
      </c>
      <c r="S281" t="s">
        <v>2926</v>
      </c>
    </row>
    <row r="282" spans="1:19" x14ac:dyDescent="0.3">
      <c r="A282" s="9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 s="5">
        <v>0.1</v>
      </c>
      <c r="I282" t="s">
        <v>39</v>
      </c>
      <c r="J282" s="7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1">
        <v>45708</v>
      </c>
      <c r="R282" s="1">
        <v>45711</v>
      </c>
      <c r="S282" t="s">
        <v>2922</v>
      </c>
    </row>
    <row r="283" spans="1:19" x14ac:dyDescent="0.3">
      <c r="A283" s="9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 s="5">
        <v>0.15</v>
      </c>
      <c r="I283" t="s">
        <v>42</v>
      </c>
      <c r="J283" s="7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1">
        <v>45183</v>
      </c>
      <c r="R283" s="1">
        <v>45188</v>
      </c>
      <c r="S283" t="s">
        <v>2924</v>
      </c>
    </row>
    <row r="284" spans="1:19" x14ac:dyDescent="0.3">
      <c r="A284" s="9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 s="5">
        <v>0.15</v>
      </c>
      <c r="I284" t="s">
        <v>38</v>
      </c>
      <c r="J284" s="7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1">
        <v>45399</v>
      </c>
      <c r="R284" s="1">
        <v>45409</v>
      </c>
      <c r="S284" t="s">
        <v>2926</v>
      </c>
    </row>
    <row r="285" spans="1:19" x14ac:dyDescent="0.3">
      <c r="A285" s="9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 s="5">
        <v>0</v>
      </c>
      <c r="I285" t="s">
        <v>38</v>
      </c>
      <c r="J285" s="7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1">
        <v>45610</v>
      </c>
      <c r="R285" s="1">
        <v>45614</v>
      </c>
      <c r="S285" t="s">
        <v>2925</v>
      </c>
    </row>
    <row r="286" spans="1:19" x14ac:dyDescent="0.3">
      <c r="A286" s="9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 s="5">
        <v>0.1</v>
      </c>
      <c r="I286" t="s">
        <v>42</v>
      </c>
      <c r="J286" s="7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1">
        <v>45498</v>
      </c>
      <c r="R286" s="1">
        <v>45500</v>
      </c>
      <c r="S286" t="s">
        <v>2924</v>
      </c>
    </row>
    <row r="287" spans="1:19" x14ac:dyDescent="0.3">
      <c r="A287" s="9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 s="5">
        <v>0.1</v>
      </c>
      <c r="I287" t="s">
        <v>38</v>
      </c>
      <c r="J287" s="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1">
        <v>45509</v>
      </c>
      <c r="R287" s="1">
        <v>45519</v>
      </c>
      <c r="S287" t="s">
        <v>2922</v>
      </c>
    </row>
    <row r="288" spans="1:19" x14ac:dyDescent="0.3">
      <c r="A288" s="9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 s="5">
        <v>0</v>
      </c>
      <c r="I288" t="s">
        <v>41</v>
      </c>
      <c r="J288" s="7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1">
        <v>45680</v>
      </c>
      <c r="R288" s="1">
        <v>45690</v>
      </c>
      <c r="S288" t="s">
        <v>2926</v>
      </c>
    </row>
    <row r="289" spans="1:19" x14ac:dyDescent="0.3">
      <c r="A289" s="9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 s="5">
        <v>0.15</v>
      </c>
      <c r="I289" t="s">
        <v>42</v>
      </c>
      <c r="J289" s="7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1">
        <v>45774</v>
      </c>
      <c r="R289" s="1">
        <v>45780</v>
      </c>
      <c r="S289" t="s">
        <v>2926</v>
      </c>
    </row>
    <row r="290" spans="1:19" x14ac:dyDescent="0.3">
      <c r="A290" s="9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 s="5">
        <v>0</v>
      </c>
      <c r="I290" t="s">
        <v>37</v>
      </c>
      <c r="J290" s="7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1">
        <v>45555</v>
      </c>
      <c r="R290" s="1">
        <v>45558</v>
      </c>
      <c r="S290" t="s">
        <v>2923</v>
      </c>
    </row>
    <row r="291" spans="1:19" x14ac:dyDescent="0.3">
      <c r="A291" s="9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 s="5">
        <v>0.15</v>
      </c>
      <c r="I291" t="s">
        <v>40</v>
      </c>
      <c r="J291" s="7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1">
        <v>45177</v>
      </c>
      <c r="R291" s="1">
        <v>45184</v>
      </c>
      <c r="S291" t="s">
        <v>2926</v>
      </c>
    </row>
    <row r="292" spans="1:19" x14ac:dyDescent="0.3">
      <c r="A292" s="9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 s="5">
        <v>0</v>
      </c>
      <c r="I292" t="s">
        <v>42</v>
      </c>
      <c r="J292" s="7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1">
        <v>45767</v>
      </c>
      <c r="R292" s="1">
        <v>45775</v>
      </c>
      <c r="S292" t="s">
        <v>2923</v>
      </c>
    </row>
    <row r="293" spans="1:19" x14ac:dyDescent="0.3">
      <c r="A293" s="9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 s="5">
        <v>0.1</v>
      </c>
      <c r="I293" t="s">
        <v>39</v>
      </c>
      <c r="J293" s="7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1">
        <v>45463</v>
      </c>
      <c r="R293" s="1">
        <v>45470</v>
      </c>
      <c r="S293" t="s">
        <v>2924</v>
      </c>
    </row>
    <row r="294" spans="1:19" x14ac:dyDescent="0.3">
      <c r="A294" s="9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 s="5">
        <v>0</v>
      </c>
      <c r="I294" t="s">
        <v>37</v>
      </c>
      <c r="J294" s="7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1">
        <v>44937</v>
      </c>
      <c r="R294" s="1">
        <v>44946</v>
      </c>
      <c r="S294" t="s">
        <v>2922</v>
      </c>
    </row>
    <row r="295" spans="1:19" x14ac:dyDescent="0.3">
      <c r="A295" s="9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 s="5">
        <v>0.05</v>
      </c>
      <c r="I295" t="s">
        <v>41</v>
      </c>
      <c r="J295" s="7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1">
        <v>45111</v>
      </c>
      <c r="R295" s="1">
        <v>45114</v>
      </c>
      <c r="S295" t="s">
        <v>2924</v>
      </c>
    </row>
    <row r="296" spans="1:19" x14ac:dyDescent="0.3">
      <c r="A296" s="9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 s="5">
        <v>0.15</v>
      </c>
      <c r="I296" t="s">
        <v>38</v>
      </c>
      <c r="J296" s="7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1">
        <v>45724</v>
      </c>
      <c r="R296" s="1">
        <v>45734</v>
      </c>
      <c r="S296" t="s">
        <v>2925</v>
      </c>
    </row>
    <row r="297" spans="1:19" x14ac:dyDescent="0.3">
      <c r="A297" s="9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 s="5">
        <v>0.15</v>
      </c>
      <c r="I297" t="s">
        <v>39</v>
      </c>
      <c r="J297" s="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1">
        <v>45698</v>
      </c>
      <c r="R297" s="1">
        <v>45700</v>
      </c>
      <c r="S297" t="s">
        <v>2923</v>
      </c>
    </row>
    <row r="298" spans="1:19" x14ac:dyDescent="0.3">
      <c r="A298" s="9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 s="5">
        <v>0.1</v>
      </c>
      <c r="I298" t="s">
        <v>41</v>
      </c>
      <c r="J298" s="7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1">
        <v>45733</v>
      </c>
      <c r="R298" s="1">
        <v>45737</v>
      </c>
      <c r="S298" t="s">
        <v>2926</v>
      </c>
    </row>
    <row r="299" spans="1:19" x14ac:dyDescent="0.3">
      <c r="A299" s="9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 s="5">
        <v>0.05</v>
      </c>
      <c r="I299" t="s">
        <v>42</v>
      </c>
      <c r="J299" s="7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1">
        <v>45239</v>
      </c>
      <c r="R299" s="1">
        <v>45245</v>
      </c>
      <c r="S299" t="s">
        <v>2922</v>
      </c>
    </row>
    <row r="300" spans="1:19" x14ac:dyDescent="0.3">
      <c r="A300" s="9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 s="5">
        <v>0.05</v>
      </c>
      <c r="I300" t="s">
        <v>40</v>
      </c>
      <c r="J300" s="7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1">
        <v>45260</v>
      </c>
      <c r="R300" s="1">
        <v>45268</v>
      </c>
      <c r="S300" t="s">
        <v>2925</v>
      </c>
    </row>
    <row r="301" spans="1:19" x14ac:dyDescent="0.3">
      <c r="A301" s="9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 s="5">
        <v>0</v>
      </c>
      <c r="I301" t="s">
        <v>38</v>
      </c>
      <c r="J301" s="7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1">
        <v>45519</v>
      </c>
      <c r="R301" s="1">
        <v>45524</v>
      </c>
      <c r="S301" t="s">
        <v>2923</v>
      </c>
    </row>
    <row r="302" spans="1:19" x14ac:dyDescent="0.3">
      <c r="A302" s="9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 s="5">
        <v>0.05</v>
      </c>
      <c r="I302" t="s">
        <v>37</v>
      </c>
      <c r="J302" s="7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1">
        <v>45006</v>
      </c>
      <c r="R302" s="1">
        <v>45011</v>
      </c>
      <c r="S302" t="s">
        <v>2926</v>
      </c>
    </row>
    <row r="303" spans="1:19" x14ac:dyDescent="0.3">
      <c r="A303" s="9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 s="5">
        <v>0</v>
      </c>
      <c r="I303" t="s">
        <v>37</v>
      </c>
      <c r="J303" s="7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1">
        <v>45225</v>
      </c>
      <c r="R303" s="1">
        <v>45230</v>
      </c>
      <c r="S303" t="s">
        <v>2926</v>
      </c>
    </row>
    <row r="304" spans="1:19" x14ac:dyDescent="0.3">
      <c r="A304" s="9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 s="5">
        <v>0.1</v>
      </c>
      <c r="I304" t="s">
        <v>40</v>
      </c>
      <c r="J304" s="7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1">
        <v>45233</v>
      </c>
      <c r="R304" s="1">
        <v>45241</v>
      </c>
      <c r="S304" t="s">
        <v>2926</v>
      </c>
    </row>
    <row r="305" spans="1:19" x14ac:dyDescent="0.3">
      <c r="A305" s="9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 s="5">
        <v>0.15</v>
      </c>
      <c r="I305" t="s">
        <v>39</v>
      </c>
      <c r="J305" s="7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1">
        <v>45687</v>
      </c>
      <c r="R305" s="1">
        <v>45693</v>
      </c>
      <c r="S305" t="s">
        <v>2924</v>
      </c>
    </row>
    <row r="306" spans="1:19" x14ac:dyDescent="0.3">
      <c r="A306" s="9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 s="5">
        <v>0.05</v>
      </c>
      <c r="I306" t="s">
        <v>38</v>
      </c>
      <c r="J306" s="7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1">
        <v>45316</v>
      </c>
      <c r="R306" s="1">
        <v>45325</v>
      </c>
      <c r="S306" t="s">
        <v>2926</v>
      </c>
    </row>
    <row r="307" spans="1:19" x14ac:dyDescent="0.3">
      <c r="A307" s="9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 s="5">
        <v>0.15</v>
      </c>
      <c r="I307" t="s">
        <v>40</v>
      </c>
      <c r="J307" s="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1">
        <v>45745</v>
      </c>
      <c r="R307" s="1">
        <v>45749</v>
      </c>
      <c r="S307" t="s">
        <v>2923</v>
      </c>
    </row>
    <row r="308" spans="1:19" x14ac:dyDescent="0.3">
      <c r="A308" s="9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 s="5">
        <v>0</v>
      </c>
      <c r="I308" t="s">
        <v>38</v>
      </c>
      <c r="J308" s="7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1">
        <v>45598</v>
      </c>
      <c r="R308" s="1">
        <v>45605</v>
      </c>
      <c r="S308" t="s">
        <v>2925</v>
      </c>
    </row>
    <row r="309" spans="1:19" x14ac:dyDescent="0.3">
      <c r="A309" s="9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 s="5">
        <v>0</v>
      </c>
      <c r="I309" t="s">
        <v>39</v>
      </c>
      <c r="J309" s="7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1">
        <v>45473</v>
      </c>
      <c r="R309" s="1">
        <v>45482</v>
      </c>
      <c r="S309" t="s">
        <v>2925</v>
      </c>
    </row>
    <row r="310" spans="1:19" x14ac:dyDescent="0.3">
      <c r="A310" s="9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 s="5">
        <v>0.1</v>
      </c>
      <c r="I310" t="s">
        <v>39</v>
      </c>
      <c r="J310" s="7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1">
        <v>44937</v>
      </c>
      <c r="R310" s="1">
        <v>44945</v>
      </c>
      <c r="S310" t="s">
        <v>2923</v>
      </c>
    </row>
    <row r="311" spans="1:19" x14ac:dyDescent="0.3">
      <c r="A311" s="9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 s="5">
        <v>0</v>
      </c>
      <c r="I311" t="s">
        <v>37</v>
      </c>
      <c r="J311" s="7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1">
        <v>45813</v>
      </c>
      <c r="R311" s="1">
        <v>45822</v>
      </c>
      <c r="S311" t="s">
        <v>2924</v>
      </c>
    </row>
    <row r="312" spans="1:19" x14ac:dyDescent="0.3">
      <c r="A312" s="9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 s="5">
        <v>0.1</v>
      </c>
      <c r="I312" t="s">
        <v>37</v>
      </c>
      <c r="J312" s="7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1">
        <v>45372</v>
      </c>
      <c r="R312" s="1">
        <v>45375</v>
      </c>
      <c r="S312" t="s">
        <v>2924</v>
      </c>
    </row>
    <row r="313" spans="1:19" x14ac:dyDescent="0.3">
      <c r="A313" s="9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 s="5">
        <v>0.05</v>
      </c>
      <c r="I313" t="s">
        <v>38</v>
      </c>
      <c r="J313" s="7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1">
        <v>45169</v>
      </c>
      <c r="R313" s="1">
        <v>45177</v>
      </c>
      <c r="S313" t="s">
        <v>2923</v>
      </c>
    </row>
    <row r="314" spans="1:19" x14ac:dyDescent="0.3">
      <c r="A314" s="9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 s="5">
        <v>0.05</v>
      </c>
      <c r="I314" t="s">
        <v>37</v>
      </c>
      <c r="J314" s="7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1">
        <v>45572</v>
      </c>
      <c r="R314" s="1">
        <v>45582</v>
      </c>
      <c r="S314" t="s">
        <v>2923</v>
      </c>
    </row>
    <row r="315" spans="1:19" x14ac:dyDescent="0.3">
      <c r="A315" s="9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 s="5">
        <v>0</v>
      </c>
      <c r="I315" t="s">
        <v>38</v>
      </c>
      <c r="J315" s="7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1">
        <v>45028</v>
      </c>
      <c r="R315" s="1">
        <v>45031</v>
      </c>
      <c r="S315" t="s">
        <v>2924</v>
      </c>
    </row>
    <row r="316" spans="1:19" x14ac:dyDescent="0.3">
      <c r="A316" s="9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 s="5">
        <v>0.15</v>
      </c>
      <c r="I316" t="s">
        <v>39</v>
      </c>
      <c r="J316" s="7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1">
        <v>45236</v>
      </c>
      <c r="R316" s="1">
        <v>45246</v>
      </c>
      <c r="S316" t="s">
        <v>2923</v>
      </c>
    </row>
    <row r="317" spans="1:19" x14ac:dyDescent="0.3">
      <c r="A317" s="9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 s="5">
        <v>0.15</v>
      </c>
      <c r="I317" t="s">
        <v>41</v>
      </c>
      <c r="J317" s="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1">
        <v>45044</v>
      </c>
      <c r="R317" s="1">
        <v>45054</v>
      </c>
      <c r="S317" t="s">
        <v>2926</v>
      </c>
    </row>
    <row r="318" spans="1:19" x14ac:dyDescent="0.3">
      <c r="A318" s="9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 s="5">
        <v>0.1</v>
      </c>
      <c r="I318" t="s">
        <v>38</v>
      </c>
      <c r="J318" s="7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1">
        <v>45278</v>
      </c>
      <c r="R318" s="1">
        <v>45281</v>
      </c>
      <c r="S318" t="s">
        <v>2926</v>
      </c>
    </row>
    <row r="319" spans="1:19" x14ac:dyDescent="0.3">
      <c r="A319" s="9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 s="5">
        <v>0</v>
      </c>
      <c r="I319" t="s">
        <v>42</v>
      </c>
      <c r="J319" s="7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1">
        <v>45575</v>
      </c>
      <c r="R319" s="1">
        <v>45581</v>
      </c>
      <c r="S319" t="s">
        <v>2923</v>
      </c>
    </row>
    <row r="320" spans="1:19" x14ac:dyDescent="0.3">
      <c r="A320" s="9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 s="5">
        <v>0</v>
      </c>
      <c r="I320" t="s">
        <v>39</v>
      </c>
      <c r="J320" s="7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1">
        <v>44962</v>
      </c>
      <c r="R320" s="1">
        <v>44964</v>
      </c>
      <c r="S320" t="s">
        <v>2924</v>
      </c>
    </row>
    <row r="321" spans="1:19" x14ac:dyDescent="0.3">
      <c r="A321" s="9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 s="5">
        <v>0.15</v>
      </c>
      <c r="I321" t="s">
        <v>37</v>
      </c>
      <c r="J321" s="7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1">
        <v>45508</v>
      </c>
      <c r="R321" s="1">
        <v>45518</v>
      </c>
      <c r="S321" t="s">
        <v>2925</v>
      </c>
    </row>
    <row r="322" spans="1:19" x14ac:dyDescent="0.3">
      <c r="A322" s="9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 s="5">
        <v>0.05</v>
      </c>
      <c r="I322" t="s">
        <v>37</v>
      </c>
      <c r="J322" s="7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1">
        <v>45588</v>
      </c>
      <c r="R322" s="1">
        <v>45597</v>
      </c>
      <c r="S322" t="s">
        <v>2925</v>
      </c>
    </row>
    <row r="323" spans="1:19" x14ac:dyDescent="0.3">
      <c r="A323" s="9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 s="5">
        <v>0.05</v>
      </c>
      <c r="I323" t="s">
        <v>40</v>
      </c>
      <c r="J323" s="7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1">
        <v>45335</v>
      </c>
      <c r="R323" s="1">
        <v>45342</v>
      </c>
      <c r="S323" t="s">
        <v>2926</v>
      </c>
    </row>
    <row r="324" spans="1:19" x14ac:dyDescent="0.3">
      <c r="A324" s="9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 s="5">
        <v>0</v>
      </c>
      <c r="I324" t="s">
        <v>38</v>
      </c>
      <c r="J324" s="7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1">
        <v>45446</v>
      </c>
      <c r="R324" s="1">
        <v>45450</v>
      </c>
      <c r="S324" t="s">
        <v>2923</v>
      </c>
    </row>
    <row r="325" spans="1:19" x14ac:dyDescent="0.3">
      <c r="A325" s="9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 s="5">
        <v>0.15</v>
      </c>
      <c r="I325" t="s">
        <v>40</v>
      </c>
      <c r="J325" s="7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1">
        <v>45030</v>
      </c>
      <c r="R325" s="1">
        <v>45034</v>
      </c>
      <c r="S325" t="s">
        <v>2923</v>
      </c>
    </row>
    <row r="326" spans="1:19" x14ac:dyDescent="0.3">
      <c r="A326" s="9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 s="5">
        <v>0.05</v>
      </c>
      <c r="I326" t="s">
        <v>41</v>
      </c>
      <c r="J326" s="7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1">
        <v>45584</v>
      </c>
      <c r="R326" s="1">
        <v>45588</v>
      </c>
      <c r="S326" t="s">
        <v>2925</v>
      </c>
    </row>
    <row r="327" spans="1:19" x14ac:dyDescent="0.3">
      <c r="A327" s="9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 s="5">
        <v>0.05</v>
      </c>
      <c r="I327" t="s">
        <v>42</v>
      </c>
      <c r="J327" s="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1">
        <v>45278</v>
      </c>
      <c r="R327" s="1">
        <v>45282</v>
      </c>
      <c r="S327" t="s">
        <v>2923</v>
      </c>
    </row>
    <row r="328" spans="1:19" x14ac:dyDescent="0.3">
      <c r="A328" s="9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 s="5">
        <v>0.15</v>
      </c>
      <c r="I328" t="s">
        <v>41</v>
      </c>
      <c r="J328" s="7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1">
        <v>45169</v>
      </c>
      <c r="R328" s="1">
        <v>45175</v>
      </c>
      <c r="S328" t="s">
        <v>2924</v>
      </c>
    </row>
    <row r="329" spans="1:19" x14ac:dyDescent="0.3">
      <c r="A329" s="9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 s="5">
        <v>0.15</v>
      </c>
      <c r="I329" t="s">
        <v>39</v>
      </c>
      <c r="J329" s="7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1">
        <v>45188</v>
      </c>
      <c r="R329" s="1">
        <v>45195</v>
      </c>
      <c r="S329" t="s">
        <v>2923</v>
      </c>
    </row>
    <row r="330" spans="1:19" x14ac:dyDescent="0.3">
      <c r="A330" s="9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 s="5">
        <v>0.15</v>
      </c>
      <c r="I330" t="s">
        <v>41</v>
      </c>
      <c r="J330" s="7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1">
        <v>44984</v>
      </c>
      <c r="R330" s="1">
        <v>44989</v>
      </c>
      <c r="S330" t="s">
        <v>2925</v>
      </c>
    </row>
    <row r="331" spans="1:19" x14ac:dyDescent="0.3">
      <c r="A331" s="9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 s="5">
        <v>0.1</v>
      </c>
      <c r="I331" t="s">
        <v>42</v>
      </c>
      <c r="J331" s="7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1">
        <v>45319</v>
      </c>
      <c r="R331" s="1">
        <v>45322</v>
      </c>
      <c r="S331" t="s">
        <v>2923</v>
      </c>
    </row>
    <row r="332" spans="1:19" x14ac:dyDescent="0.3">
      <c r="A332" s="9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 s="5">
        <v>0</v>
      </c>
      <c r="I332" t="s">
        <v>37</v>
      </c>
      <c r="J332" s="7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1">
        <v>45783</v>
      </c>
      <c r="R332" s="1">
        <v>45787</v>
      </c>
      <c r="S332" t="s">
        <v>2923</v>
      </c>
    </row>
    <row r="333" spans="1:19" x14ac:dyDescent="0.3">
      <c r="A333" s="9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 s="5">
        <v>0.05</v>
      </c>
      <c r="I333" t="s">
        <v>41</v>
      </c>
      <c r="J333" s="7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1">
        <v>45548</v>
      </c>
      <c r="R333" s="1">
        <v>45550</v>
      </c>
      <c r="S333" t="s">
        <v>2922</v>
      </c>
    </row>
    <row r="334" spans="1:19" x14ac:dyDescent="0.3">
      <c r="A334" s="9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 s="5">
        <v>0.1</v>
      </c>
      <c r="I334" t="s">
        <v>42</v>
      </c>
      <c r="J334" s="7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1">
        <v>45071</v>
      </c>
      <c r="R334" s="1">
        <v>45075</v>
      </c>
      <c r="S334" t="s">
        <v>2922</v>
      </c>
    </row>
    <row r="335" spans="1:19" x14ac:dyDescent="0.3">
      <c r="A335" s="9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 s="5">
        <v>0</v>
      </c>
      <c r="I335" t="s">
        <v>38</v>
      </c>
      <c r="J335" s="7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1">
        <v>45561</v>
      </c>
      <c r="R335" s="1">
        <v>45566</v>
      </c>
      <c r="S335" t="s">
        <v>2923</v>
      </c>
    </row>
    <row r="336" spans="1:19" x14ac:dyDescent="0.3">
      <c r="A336" s="9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 s="5">
        <v>0.05</v>
      </c>
      <c r="I336" t="s">
        <v>42</v>
      </c>
      <c r="J336" s="7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1">
        <v>44970</v>
      </c>
      <c r="R336" s="1">
        <v>44975</v>
      </c>
      <c r="S336" t="s">
        <v>2923</v>
      </c>
    </row>
    <row r="337" spans="1:19" x14ac:dyDescent="0.3">
      <c r="A337" s="9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 s="5">
        <v>0.1</v>
      </c>
      <c r="I337" t="s">
        <v>42</v>
      </c>
      <c r="J337" s="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1">
        <v>45463</v>
      </c>
      <c r="R337" s="1">
        <v>45470</v>
      </c>
      <c r="S337" t="s">
        <v>2925</v>
      </c>
    </row>
    <row r="338" spans="1:19" x14ac:dyDescent="0.3">
      <c r="A338" s="9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 s="5">
        <v>0.05</v>
      </c>
      <c r="I338" t="s">
        <v>38</v>
      </c>
      <c r="J338" s="7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1">
        <v>45373</v>
      </c>
      <c r="R338" s="1">
        <v>45376</v>
      </c>
      <c r="S338" t="s">
        <v>2926</v>
      </c>
    </row>
    <row r="339" spans="1:19" x14ac:dyDescent="0.3">
      <c r="A339" s="9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 s="5">
        <v>0.1</v>
      </c>
      <c r="I339" t="s">
        <v>39</v>
      </c>
      <c r="J339" s="7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1">
        <v>45330</v>
      </c>
      <c r="R339" s="1">
        <v>45333</v>
      </c>
      <c r="S339" t="s">
        <v>2926</v>
      </c>
    </row>
    <row r="340" spans="1:19" x14ac:dyDescent="0.3">
      <c r="A340" s="9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 s="5">
        <v>0.1</v>
      </c>
      <c r="I340" t="s">
        <v>39</v>
      </c>
      <c r="J340" s="7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1">
        <v>45444</v>
      </c>
      <c r="R340" s="1">
        <v>45447</v>
      </c>
      <c r="S340" t="s">
        <v>2922</v>
      </c>
    </row>
    <row r="341" spans="1:19" x14ac:dyDescent="0.3">
      <c r="A341" s="9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 s="5">
        <v>0</v>
      </c>
      <c r="I341" t="s">
        <v>41</v>
      </c>
      <c r="J341" s="7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1">
        <v>45438</v>
      </c>
      <c r="R341" s="1">
        <v>45444</v>
      </c>
      <c r="S341" t="s">
        <v>2924</v>
      </c>
    </row>
    <row r="342" spans="1:19" x14ac:dyDescent="0.3">
      <c r="A342" s="9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 s="5">
        <v>0</v>
      </c>
      <c r="I342" t="s">
        <v>40</v>
      </c>
      <c r="J342" s="7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1">
        <v>45468</v>
      </c>
      <c r="R342" s="1">
        <v>45473</v>
      </c>
      <c r="S342" t="s">
        <v>2922</v>
      </c>
    </row>
    <row r="343" spans="1:19" x14ac:dyDescent="0.3">
      <c r="A343" s="9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 s="5">
        <v>0.1</v>
      </c>
      <c r="I343" t="s">
        <v>39</v>
      </c>
      <c r="J343" s="7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1">
        <v>45320</v>
      </c>
      <c r="R343" s="1">
        <v>45329</v>
      </c>
      <c r="S343" t="s">
        <v>2925</v>
      </c>
    </row>
    <row r="344" spans="1:19" x14ac:dyDescent="0.3">
      <c r="A344" s="9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 s="5">
        <v>0.05</v>
      </c>
      <c r="I344" t="s">
        <v>38</v>
      </c>
      <c r="J344" s="7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1">
        <v>45633</v>
      </c>
      <c r="R344" s="1">
        <v>45635</v>
      </c>
      <c r="S344" t="s">
        <v>2923</v>
      </c>
    </row>
    <row r="345" spans="1:19" x14ac:dyDescent="0.3">
      <c r="A345" s="9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 s="5">
        <v>0.15</v>
      </c>
      <c r="I345" t="s">
        <v>38</v>
      </c>
      <c r="J345" s="7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1">
        <v>45251</v>
      </c>
      <c r="R345" s="1">
        <v>45256</v>
      </c>
      <c r="S345" t="s">
        <v>2926</v>
      </c>
    </row>
    <row r="346" spans="1:19" x14ac:dyDescent="0.3">
      <c r="A346" s="9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 s="5">
        <v>0.1</v>
      </c>
      <c r="I346" t="s">
        <v>39</v>
      </c>
      <c r="J346" s="7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1">
        <v>45642</v>
      </c>
      <c r="R346" s="1">
        <v>45650</v>
      </c>
      <c r="S346" t="s">
        <v>2924</v>
      </c>
    </row>
    <row r="347" spans="1:19" x14ac:dyDescent="0.3">
      <c r="A347" s="9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 s="5">
        <v>0.05</v>
      </c>
      <c r="I347" t="s">
        <v>41</v>
      </c>
      <c r="J347" s="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1">
        <v>45143</v>
      </c>
      <c r="R347" s="1">
        <v>45153</v>
      </c>
      <c r="S347" t="s">
        <v>2925</v>
      </c>
    </row>
    <row r="348" spans="1:19" x14ac:dyDescent="0.3">
      <c r="A348" s="9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 s="5">
        <v>0.1</v>
      </c>
      <c r="I348" t="s">
        <v>42</v>
      </c>
      <c r="J348" s="7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1">
        <v>45168</v>
      </c>
      <c r="R348" s="1">
        <v>45175</v>
      </c>
      <c r="S348" t="s">
        <v>2925</v>
      </c>
    </row>
    <row r="349" spans="1:19" x14ac:dyDescent="0.3">
      <c r="A349" s="9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 s="5">
        <v>0.15</v>
      </c>
      <c r="I349" t="s">
        <v>39</v>
      </c>
      <c r="J349" s="7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1">
        <v>45741</v>
      </c>
      <c r="R349" s="1">
        <v>45743</v>
      </c>
      <c r="S349" t="s">
        <v>2922</v>
      </c>
    </row>
    <row r="350" spans="1:19" x14ac:dyDescent="0.3">
      <c r="A350" s="9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 s="5">
        <v>0</v>
      </c>
      <c r="I350" t="s">
        <v>38</v>
      </c>
      <c r="J350" s="7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1">
        <v>45639</v>
      </c>
      <c r="R350" s="1">
        <v>45648</v>
      </c>
      <c r="S350" t="s">
        <v>2924</v>
      </c>
    </row>
    <row r="351" spans="1:19" x14ac:dyDescent="0.3">
      <c r="A351" s="9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 s="5">
        <v>0</v>
      </c>
      <c r="I351" t="s">
        <v>42</v>
      </c>
      <c r="J351" s="7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1">
        <v>45176</v>
      </c>
      <c r="R351" s="1">
        <v>45183</v>
      </c>
      <c r="S351" t="s">
        <v>2925</v>
      </c>
    </row>
    <row r="352" spans="1:19" x14ac:dyDescent="0.3">
      <c r="A352" s="9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 s="5">
        <v>0</v>
      </c>
      <c r="I352" t="s">
        <v>40</v>
      </c>
      <c r="J352" s="7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1">
        <v>45272</v>
      </c>
      <c r="R352" s="1">
        <v>45281</v>
      </c>
      <c r="S352" t="s">
        <v>2924</v>
      </c>
    </row>
    <row r="353" spans="1:19" x14ac:dyDescent="0.3">
      <c r="A353" s="9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 s="5">
        <v>0</v>
      </c>
      <c r="I353" t="s">
        <v>42</v>
      </c>
      <c r="J353" s="7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1">
        <v>45407</v>
      </c>
      <c r="R353" s="1">
        <v>45417</v>
      </c>
      <c r="S353" t="s">
        <v>2922</v>
      </c>
    </row>
    <row r="354" spans="1:19" x14ac:dyDescent="0.3">
      <c r="A354" s="9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 s="5">
        <v>0.15</v>
      </c>
      <c r="I354" t="s">
        <v>41</v>
      </c>
      <c r="J354" s="7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1">
        <v>45781</v>
      </c>
      <c r="R354" s="1">
        <v>45784</v>
      </c>
      <c r="S354" t="s">
        <v>2924</v>
      </c>
    </row>
    <row r="355" spans="1:19" x14ac:dyDescent="0.3">
      <c r="A355" s="9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 s="5">
        <v>0.05</v>
      </c>
      <c r="I355" t="s">
        <v>41</v>
      </c>
      <c r="J355" s="7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1">
        <v>45185</v>
      </c>
      <c r="R355" s="1">
        <v>45189</v>
      </c>
      <c r="S355" t="s">
        <v>2923</v>
      </c>
    </row>
    <row r="356" spans="1:19" x14ac:dyDescent="0.3">
      <c r="A356" s="9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 s="5">
        <v>0.1</v>
      </c>
      <c r="I356" t="s">
        <v>38</v>
      </c>
      <c r="J356" s="7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1">
        <v>45588</v>
      </c>
      <c r="R356" s="1">
        <v>45591</v>
      </c>
      <c r="S356" t="s">
        <v>2926</v>
      </c>
    </row>
    <row r="357" spans="1:19" x14ac:dyDescent="0.3">
      <c r="A357" s="9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 s="5">
        <v>0.1</v>
      </c>
      <c r="I357" t="s">
        <v>38</v>
      </c>
      <c r="J357" s="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1">
        <v>45049</v>
      </c>
      <c r="R357" s="1">
        <v>45052</v>
      </c>
      <c r="S357" t="s">
        <v>2924</v>
      </c>
    </row>
    <row r="358" spans="1:19" x14ac:dyDescent="0.3">
      <c r="A358" s="9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 s="5">
        <v>0.15</v>
      </c>
      <c r="I358" t="s">
        <v>40</v>
      </c>
      <c r="J358" s="7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1">
        <v>45734</v>
      </c>
      <c r="R358" s="1">
        <v>45741</v>
      </c>
      <c r="S358" t="s">
        <v>2924</v>
      </c>
    </row>
    <row r="359" spans="1:19" x14ac:dyDescent="0.3">
      <c r="A359" s="9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 s="5">
        <v>0</v>
      </c>
      <c r="I359" t="s">
        <v>37</v>
      </c>
      <c r="J359" s="7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1">
        <v>45163</v>
      </c>
      <c r="R359" s="1">
        <v>45165</v>
      </c>
      <c r="S359" t="s">
        <v>2926</v>
      </c>
    </row>
    <row r="360" spans="1:19" x14ac:dyDescent="0.3">
      <c r="A360" s="9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 s="5">
        <v>0.1</v>
      </c>
      <c r="I360" t="s">
        <v>39</v>
      </c>
      <c r="J360" s="7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1">
        <v>45120</v>
      </c>
      <c r="R360" s="1">
        <v>45124</v>
      </c>
      <c r="S360" t="s">
        <v>2924</v>
      </c>
    </row>
    <row r="361" spans="1:19" x14ac:dyDescent="0.3">
      <c r="A361" s="9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 s="5">
        <v>0.1</v>
      </c>
      <c r="I361" t="s">
        <v>40</v>
      </c>
      <c r="J361" s="7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1">
        <v>45713</v>
      </c>
      <c r="R361" s="1">
        <v>45722</v>
      </c>
      <c r="S361" t="s">
        <v>2924</v>
      </c>
    </row>
    <row r="362" spans="1:19" x14ac:dyDescent="0.3">
      <c r="A362" s="9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 s="5">
        <v>0.1</v>
      </c>
      <c r="I362" t="s">
        <v>37</v>
      </c>
      <c r="J362" s="7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1">
        <v>45761</v>
      </c>
      <c r="R362" s="1">
        <v>45764</v>
      </c>
      <c r="S362" t="s">
        <v>2925</v>
      </c>
    </row>
    <row r="363" spans="1:19" x14ac:dyDescent="0.3">
      <c r="A363" s="9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 s="5">
        <v>0.05</v>
      </c>
      <c r="I363" t="s">
        <v>38</v>
      </c>
      <c r="J363" s="7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1">
        <v>45823</v>
      </c>
      <c r="R363" s="1">
        <v>45826</v>
      </c>
      <c r="S363" t="s">
        <v>2925</v>
      </c>
    </row>
    <row r="364" spans="1:19" x14ac:dyDescent="0.3">
      <c r="A364" s="9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 s="5">
        <v>0.1</v>
      </c>
      <c r="I364" t="s">
        <v>39</v>
      </c>
      <c r="J364" s="7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1">
        <v>45587</v>
      </c>
      <c r="R364" s="1">
        <v>45592</v>
      </c>
      <c r="S364" t="s">
        <v>2924</v>
      </c>
    </row>
    <row r="365" spans="1:19" x14ac:dyDescent="0.3">
      <c r="A365" s="9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 s="5">
        <v>0.05</v>
      </c>
      <c r="I365" t="s">
        <v>37</v>
      </c>
      <c r="J365" s="7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1">
        <v>45097</v>
      </c>
      <c r="R365" s="1">
        <v>45102</v>
      </c>
      <c r="S365" t="s">
        <v>2923</v>
      </c>
    </row>
    <row r="366" spans="1:19" x14ac:dyDescent="0.3">
      <c r="A366" s="9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 s="5">
        <v>0.05</v>
      </c>
      <c r="I366" t="s">
        <v>38</v>
      </c>
      <c r="J366" s="7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1">
        <v>45721</v>
      </c>
      <c r="R366" s="1">
        <v>45727</v>
      </c>
      <c r="S366" t="s">
        <v>2923</v>
      </c>
    </row>
    <row r="367" spans="1:19" x14ac:dyDescent="0.3">
      <c r="A367" s="9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 s="5">
        <v>0.1</v>
      </c>
      <c r="I367" t="s">
        <v>38</v>
      </c>
      <c r="J367" s="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1">
        <v>45227</v>
      </c>
      <c r="R367" s="1">
        <v>45229</v>
      </c>
      <c r="S367" t="s">
        <v>2926</v>
      </c>
    </row>
    <row r="368" spans="1:19" x14ac:dyDescent="0.3">
      <c r="A368" s="9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 s="5">
        <v>0.05</v>
      </c>
      <c r="I368" t="s">
        <v>40</v>
      </c>
      <c r="J368" s="7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1">
        <v>45735</v>
      </c>
      <c r="R368" s="1">
        <v>45742</v>
      </c>
      <c r="S368" t="s">
        <v>2925</v>
      </c>
    </row>
    <row r="369" spans="1:19" x14ac:dyDescent="0.3">
      <c r="A369" s="9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 s="5">
        <v>0.05</v>
      </c>
      <c r="I369" t="s">
        <v>42</v>
      </c>
      <c r="J369" s="7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1">
        <v>45144</v>
      </c>
      <c r="R369" s="1">
        <v>45146</v>
      </c>
      <c r="S369" t="s">
        <v>2926</v>
      </c>
    </row>
    <row r="370" spans="1:19" x14ac:dyDescent="0.3">
      <c r="A370" s="9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 s="5">
        <v>0.05</v>
      </c>
      <c r="I370" t="s">
        <v>37</v>
      </c>
      <c r="J370" s="7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1">
        <v>45546</v>
      </c>
      <c r="R370" s="1">
        <v>45554</v>
      </c>
      <c r="S370" t="s">
        <v>2925</v>
      </c>
    </row>
    <row r="371" spans="1:19" x14ac:dyDescent="0.3">
      <c r="A371" s="9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 s="5">
        <v>0</v>
      </c>
      <c r="I371" t="s">
        <v>39</v>
      </c>
      <c r="J371" s="7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1">
        <v>45665</v>
      </c>
      <c r="R371" s="1">
        <v>45669</v>
      </c>
      <c r="S371" t="s">
        <v>2925</v>
      </c>
    </row>
    <row r="372" spans="1:19" x14ac:dyDescent="0.3">
      <c r="A372" s="9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 s="5">
        <v>0</v>
      </c>
      <c r="I372" t="s">
        <v>40</v>
      </c>
      <c r="J372" s="7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1">
        <v>45516</v>
      </c>
      <c r="R372" s="1">
        <v>45518</v>
      </c>
      <c r="S372" t="s">
        <v>2925</v>
      </c>
    </row>
    <row r="373" spans="1:19" x14ac:dyDescent="0.3">
      <c r="A373" s="9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 s="5">
        <v>0.1</v>
      </c>
      <c r="I373" t="s">
        <v>38</v>
      </c>
      <c r="J373" s="7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1">
        <v>45015</v>
      </c>
      <c r="R373" s="1">
        <v>45020</v>
      </c>
      <c r="S373" t="s">
        <v>2924</v>
      </c>
    </row>
    <row r="374" spans="1:19" x14ac:dyDescent="0.3">
      <c r="A374" s="9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 s="5">
        <v>0</v>
      </c>
      <c r="I374" t="s">
        <v>40</v>
      </c>
      <c r="J374" s="7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1">
        <v>44958</v>
      </c>
      <c r="R374" s="1">
        <v>44966</v>
      </c>
      <c r="S374" t="s">
        <v>2925</v>
      </c>
    </row>
    <row r="375" spans="1:19" x14ac:dyDescent="0.3">
      <c r="A375" s="9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 s="5">
        <v>0</v>
      </c>
      <c r="I375" t="s">
        <v>41</v>
      </c>
      <c r="J375" s="7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1">
        <v>45765</v>
      </c>
      <c r="R375" s="1">
        <v>45774</v>
      </c>
      <c r="S375" t="s">
        <v>2924</v>
      </c>
    </row>
    <row r="376" spans="1:19" x14ac:dyDescent="0.3">
      <c r="A376" s="9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 s="5">
        <v>0.1</v>
      </c>
      <c r="I376" t="s">
        <v>37</v>
      </c>
      <c r="J376" s="7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1">
        <v>45745</v>
      </c>
      <c r="R376" s="1">
        <v>45749</v>
      </c>
      <c r="S376" t="s">
        <v>2925</v>
      </c>
    </row>
    <row r="377" spans="1:19" x14ac:dyDescent="0.3">
      <c r="A377" s="9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 s="5">
        <v>0.1</v>
      </c>
      <c r="I377" t="s">
        <v>37</v>
      </c>
      <c r="J377" s="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1">
        <v>45407</v>
      </c>
      <c r="R377" s="1">
        <v>45410</v>
      </c>
      <c r="S377" t="s">
        <v>2922</v>
      </c>
    </row>
    <row r="378" spans="1:19" x14ac:dyDescent="0.3">
      <c r="A378" s="9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 s="5">
        <v>0.05</v>
      </c>
      <c r="I378" t="s">
        <v>40</v>
      </c>
      <c r="J378" s="7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1">
        <v>45557</v>
      </c>
      <c r="R378" s="1">
        <v>45562</v>
      </c>
      <c r="S378" t="s">
        <v>2923</v>
      </c>
    </row>
    <row r="379" spans="1:19" x14ac:dyDescent="0.3">
      <c r="A379" s="9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 s="5">
        <v>0</v>
      </c>
      <c r="I379" t="s">
        <v>38</v>
      </c>
      <c r="J379" s="7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1">
        <v>45143</v>
      </c>
      <c r="R379" s="1">
        <v>45152</v>
      </c>
      <c r="S379" t="s">
        <v>2925</v>
      </c>
    </row>
    <row r="380" spans="1:19" x14ac:dyDescent="0.3">
      <c r="A380" s="9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 s="5">
        <v>0.05</v>
      </c>
      <c r="I380" t="s">
        <v>42</v>
      </c>
      <c r="J380" s="7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1">
        <v>45450</v>
      </c>
      <c r="R380" s="1">
        <v>45454</v>
      </c>
      <c r="S380" t="s">
        <v>2923</v>
      </c>
    </row>
    <row r="381" spans="1:19" x14ac:dyDescent="0.3">
      <c r="A381" s="9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 s="5">
        <v>0.15</v>
      </c>
      <c r="I381" t="s">
        <v>38</v>
      </c>
      <c r="J381" s="7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1">
        <v>45801</v>
      </c>
      <c r="R381" s="1">
        <v>45807</v>
      </c>
      <c r="S381" t="s">
        <v>2922</v>
      </c>
    </row>
    <row r="382" spans="1:19" x14ac:dyDescent="0.3">
      <c r="A382" s="9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 s="5">
        <v>0.15</v>
      </c>
      <c r="I382" t="s">
        <v>37</v>
      </c>
      <c r="J382" s="7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1">
        <v>45491</v>
      </c>
      <c r="R382" s="1">
        <v>45498</v>
      </c>
      <c r="S382" t="s">
        <v>2923</v>
      </c>
    </row>
    <row r="383" spans="1:19" x14ac:dyDescent="0.3">
      <c r="A383" s="9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 s="5">
        <v>0.1</v>
      </c>
      <c r="I383" t="s">
        <v>39</v>
      </c>
      <c r="J383" s="7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1">
        <v>45487</v>
      </c>
      <c r="R383" s="1">
        <v>45489</v>
      </c>
      <c r="S383" t="s">
        <v>2926</v>
      </c>
    </row>
    <row r="384" spans="1:19" x14ac:dyDescent="0.3">
      <c r="A384" s="9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 s="5">
        <v>0.05</v>
      </c>
      <c r="I384" t="s">
        <v>42</v>
      </c>
      <c r="J384" s="7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1">
        <v>45030</v>
      </c>
      <c r="R384" s="1">
        <v>45035</v>
      </c>
      <c r="S384" t="s">
        <v>2925</v>
      </c>
    </row>
    <row r="385" spans="1:19" x14ac:dyDescent="0.3">
      <c r="A385" s="9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 s="5">
        <v>0.1</v>
      </c>
      <c r="I385" t="s">
        <v>40</v>
      </c>
      <c r="J385" s="7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1">
        <v>45078</v>
      </c>
      <c r="R385" s="1">
        <v>45083</v>
      </c>
      <c r="S385" t="s">
        <v>2923</v>
      </c>
    </row>
    <row r="386" spans="1:19" x14ac:dyDescent="0.3">
      <c r="A386" s="9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 s="5">
        <v>0.1</v>
      </c>
      <c r="I386" t="s">
        <v>38</v>
      </c>
      <c r="J386" s="7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1">
        <v>45764</v>
      </c>
      <c r="R386" s="1">
        <v>45767</v>
      </c>
      <c r="S386" t="s">
        <v>2925</v>
      </c>
    </row>
    <row r="387" spans="1:19" x14ac:dyDescent="0.3">
      <c r="A387" s="9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 s="5">
        <v>0.05</v>
      </c>
      <c r="I387" t="s">
        <v>42</v>
      </c>
      <c r="J387" s="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1">
        <v>45747</v>
      </c>
      <c r="R387" s="1">
        <v>45756</v>
      </c>
      <c r="S387" t="s">
        <v>2922</v>
      </c>
    </row>
    <row r="388" spans="1:19" x14ac:dyDescent="0.3">
      <c r="A388" s="9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 s="5">
        <v>0</v>
      </c>
      <c r="I388" t="s">
        <v>42</v>
      </c>
      <c r="J388" s="7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1">
        <v>45488</v>
      </c>
      <c r="R388" s="1">
        <v>45495</v>
      </c>
      <c r="S388" t="s">
        <v>2922</v>
      </c>
    </row>
    <row r="389" spans="1:19" x14ac:dyDescent="0.3">
      <c r="A389" s="9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 s="5">
        <v>0</v>
      </c>
      <c r="I389" t="s">
        <v>40</v>
      </c>
      <c r="J389" s="7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1">
        <v>45534</v>
      </c>
      <c r="R389" s="1">
        <v>45536</v>
      </c>
      <c r="S389" t="s">
        <v>2923</v>
      </c>
    </row>
    <row r="390" spans="1:19" x14ac:dyDescent="0.3">
      <c r="A390" s="9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 s="5">
        <v>0</v>
      </c>
      <c r="I390" t="s">
        <v>42</v>
      </c>
      <c r="J390" s="7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1">
        <v>45664</v>
      </c>
      <c r="R390" s="1">
        <v>45667</v>
      </c>
      <c r="S390" t="s">
        <v>2925</v>
      </c>
    </row>
    <row r="391" spans="1:19" x14ac:dyDescent="0.3">
      <c r="A391" s="9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 s="5">
        <v>0.05</v>
      </c>
      <c r="I391" t="s">
        <v>38</v>
      </c>
      <c r="J391" s="7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1">
        <v>45693</v>
      </c>
      <c r="R391" s="1">
        <v>45699</v>
      </c>
      <c r="S391" t="s">
        <v>2923</v>
      </c>
    </row>
    <row r="392" spans="1:19" x14ac:dyDescent="0.3">
      <c r="A392" s="9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 s="5">
        <v>0.15</v>
      </c>
      <c r="I392" t="s">
        <v>39</v>
      </c>
      <c r="J392" s="7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1">
        <v>45383</v>
      </c>
      <c r="R392" s="1">
        <v>45386</v>
      </c>
      <c r="S392" t="s">
        <v>2924</v>
      </c>
    </row>
    <row r="393" spans="1:19" x14ac:dyDescent="0.3">
      <c r="A393" s="9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 s="5">
        <v>0.05</v>
      </c>
      <c r="I393" t="s">
        <v>37</v>
      </c>
      <c r="J393" s="7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1">
        <v>45717</v>
      </c>
      <c r="R393" s="1">
        <v>45725</v>
      </c>
      <c r="S393" t="s">
        <v>2926</v>
      </c>
    </row>
    <row r="394" spans="1:19" x14ac:dyDescent="0.3">
      <c r="A394" s="9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 s="5">
        <v>0.15</v>
      </c>
      <c r="I394" t="s">
        <v>41</v>
      </c>
      <c r="J394" s="7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1">
        <v>45110</v>
      </c>
      <c r="R394" s="1">
        <v>45113</v>
      </c>
      <c r="S394" t="s">
        <v>2925</v>
      </c>
    </row>
    <row r="395" spans="1:19" x14ac:dyDescent="0.3">
      <c r="A395" s="9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 s="5">
        <v>0.15</v>
      </c>
      <c r="I395" t="s">
        <v>42</v>
      </c>
      <c r="J395" s="7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1">
        <v>45041</v>
      </c>
      <c r="R395" s="1">
        <v>45047</v>
      </c>
      <c r="S395" t="s">
        <v>2925</v>
      </c>
    </row>
    <row r="396" spans="1:19" x14ac:dyDescent="0.3">
      <c r="A396" s="9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 s="5">
        <v>0.05</v>
      </c>
      <c r="I396" t="s">
        <v>39</v>
      </c>
      <c r="J396" s="7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1">
        <v>45756</v>
      </c>
      <c r="R396" s="1">
        <v>45766</v>
      </c>
      <c r="S396" t="s">
        <v>2926</v>
      </c>
    </row>
    <row r="397" spans="1:19" x14ac:dyDescent="0.3">
      <c r="A397" s="9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 s="5">
        <v>0</v>
      </c>
      <c r="I397" t="s">
        <v>39</v>
      </c>
      <c r="J397" s="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1">
        <v>45235</v>
      </c>
      <c r="R397" s="1">
        <v>45242</v>
      </c>
      <c r="S397" t="s">
        <v>2924</v>
      </c>
    </row>
    <row r="398" spans="1:19" x14ac:dyDescent="0.3">
      <c r="A398" s="9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 s="5">
        <v>0</v>
      </c>
      <c r="I398" t="s">
        <v>41</v>
      </c>
      <c r="J398" s="7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1">
        <v>44939</v>
      </c>
      <c r="R398" s="1">
        <v>44945</v>
      </c>
      <c r="S398" t="s">
        <v>2922</v>
      </c>
    </row>
    <row r="399" spans="1:19" x14ac:dyDescent="0.3">
      <c r="A399" s="9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 s="5">
        <v>0.15</v>
      </c>
      <c r="I399" t="s">
        <v>39</v>
      </c>
      <c r="J399" s="7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1">
        <v>45694</v>
      </c>
      <c r="R399" s="1">
        <v>45698</v>
      </c>
      <c r="S399" t="s">
        <v>2926</v>
      </c>
    </row>
    <row r="400" spans="1:19" x14ac:dyDescent="0.3">
      <c r="A400" s="9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 s="5">
        <v>0</v>
      </c>
      <c r="I400" t="s">
        <v>40</v>
      </c>
      <c r="J400" s="7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1">
        <v>45066</v>
      </c>
      <c r="R400" s="1">
        <v>45071</v>
      </c>
      <c r="S400" t="s">
        <v>2923</v>
      </c>
    </row>
    <row r="401" spans="1:19" x14ac:dyDescent="0.3">
      <c r="A401" s="9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 s="5">
        <v>0</v>
      </c>
      <c r="I401" t="s">
        <v>41</v>
      </c>
      <c r="J401" s="7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1">
        <v>45826</v>
      </c>
      <c r="R401" s="1">
        <v>45832</v>
      </c>
      <c r="S401" t="s">
        <v>2922</v>
      </c>
    </row>
    <row r="402" spans="1:19" x14ac:dyDescent="0.3">
      <c r="A402" s="9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 s="5">
        <v>0</v>
      </c>
      <c r="I402" t="s">
        <v>42</v>
      </c>
      <c r="J402" s="7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1">
        <v>44980</v>
      </c>
      <c r="R402" s="1">
        <v>44984</v>
      </c>
      <c r="S402" t="s">
        <v>2926</v>
      </c>
    </row>
    <row r="403" spans="1:19" x14ac:dyDescent="0.3">
      <c r="A403" s="9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 s="5">
        <v>0</v>
      </c>
      <c r="I403" t="s">
        <v>42</v>
      </c>
      <c r="J403" s="7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1">
        <v>45605</v>
      </c>
      <c r="R403" s="1">
        <v>45608</v>
      </c>
      <c r="S403" t="s">
        <v>2922</v>
      </c>
    </row>
    <row r="404" spans="1:19" x14ac:dyDescent="0.3">
      <c r="A404" s="9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 s="5">
        <v>0.05</v>
      </c>
      <c r="I404" t="s">
        <v>39</v>
      </c>
      <c r="J404" s="7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1">
        <v>45498</v>
      </c>
      <c r="R404" s="1">
        <v>45504</v>
      </c>
      <c r="S404" t="s">
        <v>2923</v>
      </c>
    </row>
    <row r="405" spans="1:19" x14ac:dyDescent="0.3">
      <c r="A405" s="9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 s="5">
        <v>0.15</v>
      </c>
      <c r="I405" t="s">
        <v>39</v>
      </c>
      <c r="J405" s="7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1">
        <v>45157</v>
      </c>
      <c r="R405" s="1">
        <v>45161</v>
      </c>
      <c r="S405" t="s">
        <v>2926</v>
      </c>
    </row>
    <row r="406" spans="1:19" x14ac:dyDescent="0.3">
      <c r="A406" s="9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 s="5">
        <v>0.1</v>
      </c>
      <c r="I406" t="s">
        <v>42</v>
      </c>
      <c r="J406" s="7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1">
        <v>45243</v>
      </c>
      <c r="R406" s="1">
        <v>45245</v>
      </c>
      <c r="S406" t="s">
        <v>2923</v>
      </c>
    </row>
    <row r="407" spans="1:19" x14ac:dyDescent="0.3">
      <c r="A407" s="9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 s="5">
        <v>0.05</v>
      </c>
      <c r="I407" t="s">
        <v>38</v>
      </c>
      <c r="J407" s="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1">
        <v>45545</v>
      </c>
      <c r="R407" s="1">
        <v>45553</v>
      </c>
      <c r="S407" t="s">
        <v>2926</v>
      </c>
    </row>
    <row r="408" spans="1:19" x14ac:dyDescent="0.3">
      <c r="A408" s="9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 s="5">
        <v>0</v>
      </c>
      <c r="I408" t="s">
        <v>37</v>
      </c>
      <c r="J408" s="7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1">
        <v>45534</v>
      </c>
      <c r="R408" s="1">
        <v>45537</v>
      </c>
      <c r="S408" t="s">
        <v>2925</v>
      </c>
    </row>
    <row r="409" spans="1:19" x14ac:dyDescent="0.3">
      <c r="A409" s="9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 s="5">
        <v>0</v>
      </c>
      <c r="I409" t="s">
        <v>38</v>
      </c>
      <c r="J409" s="7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1">
        <v>45606</v>
      </c>
      <c r="R409" s="1">
        <v>45613</v>
      </c>
      <c r="S409" t="s">
        <v>2922</v>
      </c>
    </row>
    <row r="410" spans="1:19" x14ac:dyDescent="0.3">
      <c r="A410" s="9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 s="5">
        <v>0.15</v>
      </c>
      <c r="I410" t="s">
        <v>39</v>
      </c>
      <c r="J410" s="7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1">
        <v>45029</v>
      </c>
      <c r="R410" s="1">
        <v>45035</v>
      </c>
      <c r="S410" t="s">
        <v>2922</v>
      </c>
    </row>
    <row r="411" spans="1:19" x14ac:dyDescent="0.3">
      <c r="A411" s="9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 s="5">
        <v>0.05</v>
      </c>
      <c r="I411" t="s">
        <v>38</v>
      </c>
      <c r="J411" s="7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1">
        <v>45250</v>
      </c>
      <c r="R411" s="1">
        <v>45257</v>
      </c>
      <c r="S411" t="s">
        <v>2922</v>
      </c>
    </row>
    <row r="412" spans="1:19" x14ac:dyDescent="0.3">
      <c r="A412" s="9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 s="5">
        <v>0.15</v>
      </c>
      <c r="I412" t="s">
        <v>40</v>
      </c>
      <c r="J412" s="7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1">
        <v>45761</v>
      </c>
      <c r="R412" s="1">
        <v>45766</v>
      </c>
      <c r="S412" t="s">
        <v>2924</v>
      </c>
    </row>
    <row r="413" spans="1:19" x14ac:dyDescent="0.3">
      <c r="A413" s="9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 s="5">
        <v>0.15</v>
      </c>
      <c r="I413" t="s">
        <v>40</v>
      </c>
      <c r="J413" s="7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1">
        <v>44989</v>
      </c>
      <c r="R413" s="1">
        <v>44994</v>
      </c>
      <c r="S413" t="s">
        <v>2925</v>
      </c>
    </row>
    <row r="414" spans="1:19" x14ac:dyDescent="0.3">
      <c r="A414" s="9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 s="5">
        <v>0.15</v>
      </c>
      <c r="I414" t="s">
        <v>37</v>
      </c>
      <c r="J414" s="7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1">
        <v>45612</v>
      </c>
      <c r="R414" s="1">
        <v>45615</v>
      </c>
      <c r="S414" t="s">
        <v>2924</v>
      </c>
    </row>
    <row r="415" spans="1:19" x14ac:dyDescent="0.3">
      <c r="A415" s="9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 s="5">
        <v>0</v>
      </c>
      <c r="I415" t="s">
        <v>39</v>
      </c>
      <c r="J415" s="7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1">
        <v>45437</v>
      </c>
      <c r="R415" s="1">
        <v>45445</v>
      </c>
      <c r="S415" t="s">
        <v>2923</v>
      </c>
    </row>
    <row r="416" spans="1:19" x14ac:dyDescent="0.3">
      <c r="A416" s="9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 s="5">
        <v>0.15</v>
      </c>
      <c r="I416" t="s">
        <v>38</v>
      </c>
      <c r="J416" s="7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1">
        <v>45028</v>
      </c>
      <c r="R416" s="1">
        <v>45031</v>
      </c>
      <c r="S416" t="s">
        <v>2922</v>
      </c>
    </row>
    <row r="417" spans="1:19" x14ac:dyDescent="0.3">
      <c r="A417" s="9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 s="5">
        <v>0.15</v>
      </c>
      <c r="I417" t="s">
        <v>38</v>
      </c>
      <c r="J417" s="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1">
        <v>44992</v>
      </c>
      <c r="R417" s="1">
        <v>44998</v>
      </c>
      <c r="S417" t="s">
        <v>2923</v>
      </c>
    </row>
    <row r="418" spans="1:19" x14ac:dyDescent="0.3">
      <c r="A418" s="9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 s="5">
        <v>0.1</v>
      </c>
      <c r="I418" t="s">
        <v>42</v>
      </c>
      <c r="J418" s="7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1">
        <v>45296</v>
      </c>
      <c r="R418" s="1">
        <v>45302</v>
      </c>
      <c r="S418" t="s">
        <v>2925</v>
      </c>
    </row>
    <row r="419" spans="1:19" x14ac:dyDescent="0.3">
      <c r="A419" s="9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 s="5">
        <v>0</v>
      </c>
      <c r="I419" t="s">
        <v>38</v>
      </c>
      <c r="J419" s="7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1">
        <v>45596</v>
      </c>
      <c r="R419" s="1">
        <v>45606</v>
      </c>
      <c r="S419" t="s">
        <v>2926</v>
      </c>
    </row>
    <row r="420" spans="1:19" x14ac:dyDescent="0.3">
      <c r="A420" s="9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 s="5">
        <v>0.1</v>
      </c>
      <c r="I420" t="s">
        <v>39</v>
      </c>
      <c r="J420" s="7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1">
        <v>45420</v>
      </c>
      <c r="R420" s="1">
        <v>45426</v>
      </c>
      <c r="S420" t="s">
        <v>2926</v>
      </c>
    </row>
    <row r="421" spans="1:19" x14ac:dyDescent="0.3">
      <c r="A421" s="9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 s="5">
        <v>0.15</v>
      </c>
      <c r="I421" t="s">
        <v>39</v>
      </c>
      <c r="J421" s="7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1">
        <v>45356</v>
      </c>
      <c r="R421" s="1">
        <v>45366</v>
      </c>
      <c r="S421" t="s">
        <v>2925</v>
      </c>
    </row>
    <row r="422" spans="1:19" x14ac:dyDescent="0.3">
      <c r="A422" s="9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 s="5">
        <v>0.1</v>
      </c>
      <c r="I422" t="s">
        <v>42</v>
      </c>
      <c r="J422" s="7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1">
        <v>45125</v>
      </c>
      <c r="R422" s="1">
        <v>45129</v>
      </c>
      <c r="S422" t="s">
        <v>2924</v>
      </c>
    </row>
    <row r="423" spans="1:19" x14ac:dyDescent="0.3">
      <c r="A423" s="9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 s="5">
        <v>0.1</v>
      </c>
      <c r="I423" t="s">
        <v>42</v>
      </c>
      <c r="J423" s="7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1">
        <v>45143</v>
      </c>
      <c r="R423" s="1">
        <v>45152</v>
      </c>
      <c r="S423" t="s">
        <v>2923</v>
      </c>
    </row>
    <row r="424" spans="1:19" x14ac:dyDescent="0.3">
      <c r="A424" s="9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 s="5">
        <v>0</v>
      </c>
      <c r="I424" t="s">
        <v>38</v>
      </c>
      <c r="J424" s="7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1">
        <v>45187</v>
      </c>
      <c r="R424" s="1">
        <v>45189</v>
      </c>
      <c r="S424" t="s">
        <v>2926</v>
      </c>
    </row>
    <row r="425" spans="1:19" x14ac:dyDescent="0.3">
      <c r="A425" s="9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 s="5">
        <v>0.1</v>
      </c>
      <c r="I425" t="s">
        <v>39</v>
      </c>
      <c r="J425" s="7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1">
        <v>45012</v>
      </c>
      <c r="R425" s="1">
        <v>45014</v>
      </c>
      <c r="S425" t="s">
        <v>2923</v>
      </c>
    </row>
    <row r="426" spans="1:19" x14ac:dyDescent="0.3">
      <c r="A426" s="9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 s="5">
        <v>0.15</v>
      </c>
      <c r="I426" t="s">
        <v>40</v>
      </c>
      <c r="J426" s="7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1">
        <v>44993</v>
      </c>
      <c r="R426" s="1">
        <v>45002</v>
      </c>
      <c r="S426" t="s">
        <v>2922</v>
      </c>
    </row>
    <row r="427" spans="1:19" x14ac:dyDescent="0.3">
      <c r="A427" s="9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 s="5">
        <v>0.15</v>
      </c>
      <c r="I427" t="s">
        <v>37</v>
      </c>
      <c r="J427" s="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1">
        <v>45414</v>
      </c>
      <c r="R427" s="1">
        <v>45418</v>
      </c>
      <c r="S427" t="s">
        <v>2926</v>
      </c>
    </row>
    <row r="428" spans="1:19" x14ac:dyDescent="0.3">
      <c r="A428" s="9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 s="5">
        <v>0.15</v>
      </c>
      <c r="I428" t="s">
        <v>37</v>
      </c>
      <c r="J428" s="7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1">
        <v>45185</v>
      </c>
      <c r="R428" s="1">
        <v>45195</v>
      </c>
      <c r="S428" t="s">
        <v>2924</v>
      </c>
    </row>
    <row r="429" spans="1:19" x14ac:dyDescent="0.3">
      <c r="A429" s="9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 s="5">
        <v>0</v>
      </c>
      <c r="I429" t="s">
        <v>41</v>
      </c>
      <c r="J429" s="7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1">
        <v>45090</v>
      </c>
      <c r="R429" s="1">
        <v>45099</v>
      </c>
      <c r="S429" t="s">
        <v>2923</v>
      </c>
    </row>
    <row r="430" spans="1:19" x14ac:dyDescent="0.3">
      <c r="A430" s="9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 s="5">
        <v>0.1</v>
      </c>
      <c r="I430" t="s">
        <v>40</v>
      </c>
      <c r="J430" s="7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1">
        <v>45235</v>
      </c>
      <c r="R430" s="1">
        <v>45238</v>
      </c>
      <c r="S430" t="s">
        <v>2924</v>
      </c>
    </row>
    <row r="431" spans="1:19" x14ac:dyDescent="0.3">
      <c r="A431" s="9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 s="5">
        <v>0</v>
      </c>
      <c r="I431" t="s">
        <v>38</v>
      </c>
      <c r="J431" s="7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1">
        <v>45619</v>
      </c>
      <c r="R431" s="1">
        <v>45622</v>
      </c>
      <c r="S431" t="s">
        <v>2923</v>
      </c>
    </row>
    <row r="432" spans="1:19" x14ac:dyDescent="0.3">
      <c r="A432" s="9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 s="5">
        <v>0</v>
      </c>
      <c r="I432" t="s">
        <v>38</v>
      </c>
      <c r="J432" s="7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1">
        <v>45331</v>
      </c>
      <c r="R432" s="1">
        <v>45340</v>
      </c>
      <c r="S432" t="s">
        <v>2925</v>
      </c>
    </row>
    <row r="433" spans="1:19" x14ac:dyDescent="0.3">
      <c r="A433" s="9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 s="5">
        <v>0.1</v>
      </c>
      <c r="I433" t="s">
        <v>42</v>
      </c>
      <c r="J433" s="7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1">
        <v>45246</v>
      </c>
      <c r="R433" s="1">
        <v>45252</v>
      </c>
      <c r="S433" t="s">
        <v>2925</v>
      </c>
    </row>
    <row r="434" spans="1:19" x14ac:dyDescent="0.3">
      <c r="A434" s="9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 s="5">
        <v>0.15</v>
      </c>
      <c r="I434" t="s">
        <v>38</v>
      </c>
      <c r="J434" s="7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1">
        <v>45681</v>
      </c>
      <c r="R434" s="1">
        <v>45686</v>
      </c>
      <c r="S434" t="s">
        <v>2925</v>
      </c>
    </row>
    <row r="435" spans="1:19" x14ac:dyDescent="0.3">
      <c r="A435" s="9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 s="5">
        <v>0.15</v>
      </c>
      <c r="I435" t="s">
        <v>40</v>
      </c>
      <c r="J435" s="7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1">
        <v>45783</v>
      </c>
      <c r="R435" s="1">
        <v>45786</v>
      </c>
      <c r="S435" t="s">
        <v>2925</v>
      </c>
    </row>
    <row r="436" spans="1:19" x14ac:dyDescent="0.3">
      <c r="A436" s="9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 s="5">
        <v>0.15</v>
      </c>
      <c r="I436" t="s">
        <v>42</v>
      </c>
      <c r="J436" s="7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1">
        <v>45794</v>
      </c>
      <c r="R436" s="1">
        <v>45804</v>
      </c>
      <c r="S436" t="s">
        <v>2922</v>
      </c>
    </row>
    <row r="437" spans="1:19" x14ac:dyDescent="0.3">
      <c r="A437" s="9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 s="5">
        <v>0.05</v>
      </c>
      <c r="I437" t="s">
        <v>37</v>
      </c>
      <c r="J437" s="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1">
        <v>45259</v>
      </c>
      <c r="R437" s="1">
        <v>45261</v>
      </c>
      <c r="S437" t="s">
        <v>2925</v>
      </c>
    </row>
    <row r="438" spans="1:19" x14ac:dyDescent="0.3">
      <c r="A438" s="9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 s="5">
        <v>0</v>
      </c>
      <c r="I438" t="s">
        <v>38</v>
      </c>
      <c r="J438" s="7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1">
        <v>44981</v>
      </c>
      <c r="R438" s="1">
        <v>44983</v>
      </c>
      <c r="S438" t="s">
        <v>2923</v>
      </c>
    </row>
    <row r="439" spans="1:19" x14ac:dyDescent="0.3">
      <c r="A439" s="9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 s="5">
        <v>0.15</v>
      </c>
      <c r="I439" t="s">
        <v>40</v>
      </c>
      <c r="J439" s="7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1">
        <v>45234</v>
      </c>
      <c r="R439" s="1">
        <v>45240</v>
      </c>
      <c r="S439" t="s">
        <v>2923</v>
      </c>
    </row>
    <row r="440" spans="1:19" x14ac:dyDescent="0.3">
      <c r="A440" s="9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 s="5">
        <v>0.1</v>
      </c>
      <c r="I440" t="s">
        <v>38</v>
      </c>
      <c r="J440" s="7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1">
        <v>45458</v>
      </c>
      <c r="R440" s="1">
        <v>45465</v>
      </c>
      <c r="S440" t="s">
        <v>2922</v>
      </c>
    </row>
    <row r="441" spans="1:19" x14ac:dyDescent="0.3">
      <c r="A441" s="9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 s="5">
        <v>0.05</v>
      </c>
      <c r="I441" t="s">
        <v>40</v>
      </c>
      <c r="J441" s="7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1">
        <v>45567</v>
      </c>
      <c r="R441" s="1">
        <v>45571</v>
      </c>
      <c r="S441" t="s">
        <v>2924</v>
      </c>
    </row>
    <row r="442" spans="1:19" x14ac:dyDescent="0.3">
      <c r="A442" s="9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 s="5">
        <v>0.1</v>
      </c>
      <c r="I442" t="s">
        <v>39</v>
      </c>
      <c r="J442" s="7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1">
        <v>45080</v>
      </c>
      <c r="R442" s="1">
        <v>45090</v>
      </c>
      <c r="S442" t="s">
        <v>2926</v>
      </c>
    </row>
    <row r="443" spans="1:19" x14ac:dyDescent="0.3">
      <c r="A443" s="9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 s="5">
        <v>0.15</v>
      </c>
      <c r="I443" t="s">
        <v>40</v>
      </c>
      <c r="J443" s="7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1">
        <v>45179</v>
      </c>
      <c r="R443" s="1">
        <v>45187</v>
      </c>
      <c r="S443" t="s">
        <v>2922</v>
      </c>
    </row>
    <row r="444" spans="1:19" x14ac:dyDescent="0.3">
      <c r="A444" s="9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 s="5">
        <v>0.15</v>
      </c>
      <c r="I444" t="s">
        <v>42</v>
      </c>
      <c r="J444" s="7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1">
        <v>45797</v>
      </c>
      <c r="R444" s="1">
        <v>45799</v>
      </c>
      <c r="S444" t="s">
        <v>2925</v>
      </c>
    </row>
    <row r="445" spans="1:19" x14ac:dyDescent="0.3">
      <c r="A445" s="9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 s="5">
        <v>0.1</v>
      </c>
      <c r="I445" t="s">
        <v>41</v>
      </c>
      <c r="J445" s="7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1">
        <v>45193</v>
      </c>
      <c r="R445" s="1">
        <v>45202</v>
      </c>
      <c r="S445" t="s">
        <v>2924</v>
      </c>
    </row>
    <row r="446" spans="1:19" x14ac:dyDescent="0.3">
      <c r="A446" s="9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 s="5">
        <v>0.1</v>
      </c>
      <c r="I446" t="s">
        <v>42</v>
      </c>
      <c r="J446" s="7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1">
        <v>45745</v>
      </c>
      <c r="R446" s="1">
        <v>45751</v>
      </c>
      <c r="S446" t="s">
        <v>2922</v>
      </c>
    </row>
    <row r="447" spans="1:19" x14ac:dyDescent="0.3">
      <c r="A447" s="9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 s="5">
        <v>0.1</v>
      </c>
      <c r="I447" t="s">
        <v>37</v>
      </c>
      <c r="J447" s="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1">
        <v>45094</v>
      </c>
      <c r="R447" s="1">
        <v>45102</v>
      </c>
      <c r="S447" t="s">
        <v>2922</v>
      </c>
    </row>
    <row r="448" spans="1:19" x14ac:dyDescent="0.3">
      <c r="A448" s="9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 s="5">
        <v>0.15</v>
      </c>
      <c r="I448" t="s">
        <v>42</v>
      </c>
      <c r="J448" s="7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1">
        <v>45319</v>
      </c>
      <c r="R448" s="1">
        <v>45327</v>
      </c>
      <c r="S448" t="s">
        <v>2926</v>
      </c>
    </row>
    <row r="449" spans="1:19" x14ac:dyDescent="0.3">
      <c r="A449" s="9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 s="5">
        <v>0.1</v>
      </c>
      <c r="I449" t="s">
        <v>38</v>
      </c>
      <c r="J449" s="7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1">
        <v>44999</v>
      </c>
      <c r="R449" s="1">
        <v>45002</v>
      </c>
      <c r="S449" t="s">
        <v>2925</v>
      </c>
    </row>
    <row r="450" spans="1:19" x14ac:dyDescent="0.3">
      <c r="A450" s="9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 s="5">
        <v>0</v>
      </c>
      <c r="I450" t="s">
        <v>41</v>
      </c>
      <c r="J450" s="7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1">
        <v>45666</v>
      </c>
      <c r="R450" s="1">
        <v>45674</v>
      </c>
      <c r="S450" t="s">
        <v>2922</v>
      </c>
    </row>
    <row r="451" spans="1:19" x14ac:dyDescent="0.3">
      <c r="A451" s="9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 s="5">
        <v>0.15</v>
      </c>
      <c r="I451" t="s">
        <v>42</v>
      </c>
      <c r="J451" s="7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1">
        <v>45746</v>
      </c>
      <c r="R451" s="1">
        <v>45753</v>
      </c>
      <c r="S451" t="s">
        <v>2925</v>
      </c>
    </row>
    <row r="452" spans="1:19" x14ac:dyDescent="0.3">
      <c r="A452" s="9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 s="5">
        <v>0.05</v>
      </c>
      <c r="I452" t="s">
        <v>40</v>
      </c>
      <c r="J452" s="7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1">
        <v>45222</v>
      </c>
      <c r="R452" s="1">
        <v>45227</v>
      </c>
      <c r="S452" t="s">
        <v>2922</v>
      </c>
    </row>
    <row r="453" spans="1:19" x14ac:dyDescent="0.3">
      <c r="A453" s="9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 s="5">
        <v>0.15</v>
      </c>
      <c r="I453" t="s">
        <v>38</v>
      </c>
      <c r="J453" s="7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1">
        <v>45816</v>
      </c>
      <c r="R453" s="1">
        <v>45822</v>
      </c>
      <c r="S453" t="s">
        <v>2926</v>
      </c>
    </row>
    <row r="454" spans="1:19" x14ac:dyDescent="0.3">
      <c r="A454" s="9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 s="5">
        <v>0</v>
      </c>
      <c r="I454" t="s">
        <v>38</v>
      </c>
      <c r="J454" s="7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1">
        <v>45348</v>
      </c>
      <c r="R454" s="1">
        <v>45351</v>
      </c>
      <c r="S454" t="s">
        <v>2926</v>
      </c>
    </row>
    <row r="455" spans="1:19" x14ac:dyDescent="0.3">
      <c r="A455" s="9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 s="5">
        <v>0.1</v>
      </c>
      <c r="I455" t="s">
        <v>39</v>
      </c>
      <c r="J455" s="7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1">
        <v>45595</v>
      </c>
      <c r="R455" s="1">
        <v>45603</v>
      </c>
      <c r="S455" t="s">
        <v>2922</v>
      </c>
    </row>
    <row r="456" spans="1:19" x14ac:dyDescent="0.3">
      <c r="A456" s="9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 s="5">
        <v>0.15</v>
      </c>
      <c r="I456" t="s">
        <v>39</v>
      </c>
      <c r="J456" s="7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1">
        <v>45523</v>
      </c>
      <c r="R456" s="1">
        <v>45527</v>
      </c>
      <c r="S456" t="s">
        <v>2923</v>
      </c>
    </row>
    <row r="457" spans="1:19" x14ac:dyDescent="0.3">
      <c r="A457" s="9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 s="5">
        <v>0.1</v>
      </c>
      <c r="I457" t="s">
        <v>38</v>
      </c>
      <c r="J457" s="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1">
        <v>45137</v>
      </c>
      <c r="R457" s="1">
        <v>45147</v>
      </c>
      <c r="S457" t="s">
        <v>2925</v>
      </c>
    </row>
    <row r="458" spans="1:19" x14ac:dyDescent="0.3">
      <c r="A458" s="9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 s="5">
        <v>0</v>
      </c>
      <c r="I458" t="s">
        <v>40</v>
      </c>
      <c r="J458" s="7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1">
        <v>45517</v>
      </c>
      <c r="R458" s="1">
        <v>45527</v>
      </c>
      <c r="S458" t="s">
        <v>2924</v>
      </c>
    </row>
    <row r="459" spans="1:19" x14ac:dyDescent="0.3">
      <c r="A459" s="9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 s="5">
        <v>0.05</v>
      </c>
      <c r="I459" t="s">
        <v>37</v>
      </c>
      <c r="J459" s="7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1">
        <v>45234</v>
      </c>
      <c r="R459" s="1">
        <v>45242</v>
      </c>
      <c r="S459" t="s">
        <v>2924</v>
      </c>
    </row>
    <row r="460" spans="1:19" x14ac:dyDescent="0.3">
      <c r="A460" s="9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 s="5">
        <v>0</v>
      </c>
      <c r="I460" t="s">
        <v>39</v>
      </c>
      <c r="J460" s="7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1">
        <v>45813</v>
      </c>
      <c r="R460" s="1">
        <v>45823</v>
      </c>
      <c r="S460" t="s">
        <v>2922</v>
      </c>
    </row>
    <row r="461" spans="1:19" x14ac:dyDescent="0.3">
      <c r="A461" s="9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 s="5">
        <v>0</v>
      </c>
      <c r="I461" t="s">
        <v>40</v>
      </c>
      <c r="J461" s="7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1">
        <v>45100</v>
      </c>
      <c r="R461" s="1">
        <v>45105</v>
      </c>
      <c r="S461" t="s">
        <v>2924</v>
      </c>
    </row>
    <row r="462" spans="1:19" x14ac:dyDescent="0.3">
      <c r="A462" s="9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 s="5">
        <v>0.1</v>
      </c>
      <c r="I462" t="s">
        <v>39</v>
      </c>
      <c r="J462" s="7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1">
        <v>45556</v>
      </c>
      <c r="R462" s="1">
        <v>45563</v>
      </c>
      <c r="S462" t="s">
        <v>2923</v>
      </c>
    </row>
    <row r="463" spans="1:19" x14ac:dyDescent="0.3">
      <c r="A463" s="9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 s="5">
        <v>0.1</v>
      </c>
      <c r="I463" t="s">
        <v>42</v>
      </c>
      <c r="J463" s="7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1">
        <v>45292</v>
      </c>
      <c r="R463" s="1">
        <v>45294</v>
      </c>
      <c r="S463" t="s">
        <v>2923</v>
      </c>
    </row>
    <row r="464" spans="1:19" x14ac:dyDescent="0.3">
      <c r="A464" s="9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 s="5">
        <v>0</v>
      </c>
      <c r="I464" t="s">
        <v>40</v>
      </c>
      <c r="J464" s="7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1">
        <v>45659</v>
      </c>
      <c r="R464" s="1">
        <v>45669</v>
      </c>
      <c r="S464" t="s">
        <v>2926</v>
      </c>
    </row>
    <row r="465" spans="1:19" x14ac:dyDescent="0.3">
      <c r="A465" s="9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 s="5">
        <v>0.15</v>
      </c>
      <c r="I465" t="s">
        <v>39</v>
      </c>
      <c r="J465" s="7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1">
        <v>45365</v>
      </c>
      <c r="R465" s="1">
        <v>45372</v>
      </c>
      <c r="S465" t="s">
        <v>2924</v>
      </c>
    </row>
    <row r="466" spans="1:19" x14ac:dyDescent="0.3">
      <c r="A466" s="9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 s="5">
        <v>0</v>
      </c>
      <c r="I466" t="s">
        <v>40</v>
      </c>
      <c r="J466" s="7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1">
        <v>45416</v>
      </c>
      <c r="R466" s="1">
        <v>45421</v>
      </c>
      <c r="S466" t="s">
        <v>2926</v>
      </c>
    </row>
    <row r="467" spans="1:19" x14ac:dyDescent="0.3">
      <c r="A467" s="9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 s="5">
        <v>0</v>
      </c>
      <c r="I467" t="s">
        <v>37</v>
      </c>
      <c r="J467" s="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1">
        <v>45715</v>
      </c>
      <c r="R467" s="1">
        <v>45718</v>
      </c>
      <c r="S467" t="s">
        <v>2923</v>
      </c>
    </row>
    <row r="468" spans="1:19" x14ac:dyDescent="0.3">
      <c r="A468" s="9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 s="5">
        <v>0.15</v>
      </c>
      <c r="I468" t="s">
        <v>39</v>
      </c>
      <c r="J468" s="7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1">
        <v>45609</v>
      </c>
      <c r="R468" s="1">
        <v>45613</v>
      </c>
      <c r="S468" t="s">
        <v>2925</v>
      </c>
    </row>
    <row r="469" spans="1:19" x14ac:dyDescent="0.3">
      <c r="A469" s="9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 s="5">
        <v>0.1</v>
      </c>
      <c r="I469" t="s">
        <v>37</v>
      </c>
      <c r="J469" s="7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1">
        <v>45230</v>
      </c>
      <c r="R469" s="1">
        <v>45240</v>
      </c>
      <c r="S469" t="s">
        <v>2926</v>
      </c>
    </row>
    <row r="470" spans="1:19" x14ac:dyDescent="0.3">
      <c r="A470" s="9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 s="5">
        <v>0</v>
      </c>
      <c r="I470" t="s">
        <v>41</v>
      </c>
      <c r="J470" s="7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1">
        <v>45279</v>
      </c>
      <c r="R470" s="1">
        <v>45284</v>
      </c>
      <c r="S470" t="s">
        <v>2925</v>
      </c>
    </row>
    <row r="471" spans="1:19" x14ac:dyDescent="0.3">
      <c r="A471" s="9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 s="5">
        <v>0.05</v>
      </c>
      <c r="I471" t="s">
        <v>41</v>
      </c>
      <c r="J471" s="7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1">
        <v>45257</v>
      </c>
      <c r="R471" s="1">
        <v>45263</v>
      </c>
      <c r="S471" t="s">
        <v>2923</v>
      </c>
    </row>
    <row r="472" spans="1:19" x14ac:dyDescent="0.3">
      <c r="A472" s="9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 s="5">
        <v>0.05</v>
      </c>
      <c r="I472" t="s">
        <v>38</v>
      </c>
      <c r="J472" s="7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1">
        <v>45153</v>
      </c>
      <c r="R472" s="1">
        <v>45156</v>
      </c>
      <c r="S472" t="s">
        <v>2922</v>
      </c>
    </row>
    <row r="473" spans="1:19" x14ac:dyDescent="0.3">
      <c r="A473" s="9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 s="5">
        <v>0</v>
      </c>
      <c r="I473" t="s">
        <v>39</v>
      </c>
      <c r="J473" s="7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1">
        <v>44942</v>
      </c>
      <c r="R473" s="1">
        <v>44950</v>
      </c>
      <c r="S473" t="s">
        <v>2926</v>
      </c>
    </row>
    <row r="474" spans="1:19" x14ac:dyDescent="0.3">
      <c r="A474" s="9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 s="5">
        <v>0.1</v>
      </c>
      <c r="I474" t="s">
        <v>39</v>
      </c>
      <c r="J474" s="7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1">
        <v>45716</v>
      </c>
      <c r="R474" s="1">
        <v>45724</v>
      </c>
      <c r="S474" t="s">
        <v>2925</v>
      </c>
    </row>
    <row r="475" spans="1:19" x14ac:dyDescent="0.3">
      <c r="A475" s="9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 s="5">
        <v>0</v>
      </c>
      <c r="I475" t="s">
        <v>40</v>
      </c>
      <c r="J475" s="7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1">
        <v>45258</v>
      </c>
      <c r="R475" s="1">
        <v>45261</v>
      </c>
      <c r="S475" t="s">
        <v>2926</v>
      </c>
    </row>
    <row r="476" spans="1:19" x14ac:dyDescent="0.3">
      <c r="A476" s="9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 s="5">
        <v>0.1</v>
      </c>
      <c r="I476" t="s">
        <v>40</v>
      </c>
      <c r="J476" s="7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1">
        <v>45264</v>
      </c>
      <c r="R476" s="1">
        <v>45273</v>
      </c>
      <c r="S476" t="s">
        <v>2926</v>
      </c>
    </row>
    <row r="477" spans="1:19" x14ac:dyDescent="0.3">
      <c r="A477" s="9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 s="5">
        <v>0.15</v>
      </c>
      <c r="I477" t="s">
        <v>39</v>
      </c>
      <c r="J477" s="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1">
        <v>45464</v>
      </c>
      <c r="R477" s="1">
        <v>45472</v>
      </c>
      <c r="S477" t="s">
        <v>2923</v>
      </c>
    </row>
    <row r="478" spans="1:19" x14ac:dyDescent="0.3">
      <c r="A478" s="9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 s="5">
        <v>0.1</v>
      </c>
      <c r="I478" t="s">
        <v>41</v>
      </c>
      <c r="J478" s="7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1">
        <v>45733</v>
      </c>
      <c r="R478" s="1">
        <v>45742</v>
      </c>
      <c r="S478" t="s">
        <v>2922</v>
      </c>
    </row>
    <row r="479" spans="1:19" x14ac:dyDescent="0.3">
      <c r="A479" s="9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 s="5">
        <v>0.1</v>
      </c>
      <c r="I479" t="s">
        <v>42</v>
      </c>
      <c r="J479" s="7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1">
        <v>45155</v>
      </c>
      <c r="R479" s="1">
        <v>45157</v>
      </c>
      <c r="S479" t="s">
        <v>2925</v>
      </c>
    </row>
    <row r="480" spans="1:19" x14ac:dyDescent="0.3">
      <c r="A480" s="9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 s="5">
        <v>0.05</v>
      </c>
      <c r="I480" t="s">
        <v>41</v>
      </c>
      <c r="J480" s="7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1">
        <v>45168</v>
      </c>
      <c r="R480" s="1">
        <v>45174</v>
      </c>
      <c r="S480" t="s">
        <v>2925</v>
      </c>
    </row>
    <row r="481" spans="1:19" x14ac:dyDescent="0.3">
      <c r="A481" s="9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 s="5">
        <v>0.1</v>
      </c>
      <c r="I481" t="s">
        <v>42</v>
      </c>
      <c r="J481" s="7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1">
        <v>45824</v>
      </c>
      <c r="R481" s="1">
        <v>45826</v>
      </c>
      <c r="S481" t="s">
        <v>2922</v>
      </c>
    </row>
    <row r="482" spans="1:19" x14ac:dyDescent="0.3">
      <c r="A482" s="9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 s="5">
        <v>0.1</v>
      </c>
      <c r="I482" t="s">
        <v>37</v>
      </c>
      <c r="J482" s="7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1">
        <v>45106</v>
      </c>
      <c r="R482" s="1">
        <v>45116</v>
      </c>
      <c r="S482" t="s">
        <v>2924</v>
      </c>
    </row>
    <row r="483" spans="1:19" x14ac:dyDescent="0.3">
      <c r="A483" s="9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 s="5">
        <v>0</v>
      </c>
      <c r="I483" t="s">
        <v>40</v>
      </c>
      <c r="J483" s="7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1">
        <v>45151</v>
      </c>
      <c r="R483" s="1">
        <v>45158</v>
      </c>
      <c r="S483" t="s">
        <v>2924</v>
      </c>
    </row>
    <row r="484" spans="1:19" x14ac:dyDescent="0.3">
      <c r="A484" s="9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 s="5">
        <v>0.05</v>
      </c>
      <c r="I484" t="s">
        <v>40</v>
      </c>
      <c r="J484" s="7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1">
        <v>45411</v>
      </c>
      <c r="R484" s="1">
        <v>45419</v>
      </c>
      <c r="S484" t="s">
        <v>2926</v>
      </c>
    </row>
    <row r="485" spans="1:19" x14ac:dyDescent="0.3">
      <c r="A485" s="9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 s="5">
        <v>0</v>
      </c>
      <c r="I485" t="s">
        <v>41</v>
      </c>
      <c r="J485" s="7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1">
        <v>45122</v>
      </c>
      <c r="R485" s="1">
        <v>45132</v>
      </c>
      <c r="S485" t="s">
        <v>2926</v>
      </c>
    </row>
    <row r="486" spans="1:19" x14ac:dyDescent="0.3">
      <c r="A486" s="9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 s="5">
        <v>0.1</v>
      </c>
      <c r="I486" t="s">
        <v>37</v>
      </c>
      <c r="J486" s="7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1">
        <v>45674</v>
      </c>
      <c r="R486" s="1">
        <v>45680</v>
      </c>
      <c r="S486" t="s">
        <v>2924</v>
      </c>
    </row>
    <row r="487" spans="1:19" x14ac:dyDescent="0.3">
      <c r="A487" s="9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 s="5">
        <v>0</v>
      </c>
      <c r="I487" t="s">
        <v>42</v>
      </c>
      <c r="J487" s="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1">
        <v>45709</v>
      </c>
      <c r="R487" s="1">
        <v>45719</v>
      </c>
      <c r="S487" t="s">
        <v>2922</v>
      </c>
    </row>
    <row r="488" spans="1:19" x14ac:dyDescent="0.3">
      <c r="A488" s="9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 s="5">
        <v>0</v>
      </c>
      <c r="I488" t="s">
        <v>38</v>
      </c>
      <c r="J488" s="7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1">
        <v>45126</v>
      </c>
      <c r="R488" s="1">
        <v>45133</v>
      </c>
      <c r="S488" t="s">
        <v>2926</v>
      </c>
    </row>
    <row r="489" spans="1:19" x14ac:dyDescent="0.3">
      <c r="A489" s="9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 s="5">
        <v>0.05</v>
      </c>
      <c r="I489" t="s">
        <v>41</v>
      </c>
      <c r="J489" s="7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1">
        <v>45564</v>
      </c>
      <c r="R489" s="1">
        <v>45571</v>
      </c>
      <c r="S489" t="s">
        <v>2926</v>
      </c>
    </row>
    <row r="490" spans="1:19" x14ac:dyDescent="0.3">
      <c r="A490" s="9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 s="5">
        <v>0.15</v>
      </c>
      <c r="I490" t="s">
        <v>39</v>
      </c>
      <c r="J490" s="7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1">
        <v>45582</v>
      </c>
      <c r="R490" s="1">
        <v>45586</v>
      </c>
      <c r="S490" t="s">
        <v>2922</v>
      </c>
    </row>
    <row r="491" spans="1:19" x14ac:dyDescent="0.3">
      <c r="A491" s="9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 s="5">
        <v>0.1</v>
      </c>
      <c r="I491" t="s">
        <v>38</v>
      </c>
      <c r="J491" s="7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1">
        <v>45819</v>
      </c>
      <c r="R491" s="1">
        <v>45825</v>
      </c>
      <c r="S491" t="s">
        <v>2922</v>
      </c>
    </row>
    <row r="492" spans="1:19" x14ac:dyDescent="0.3">
      <c r="A492" s="9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 s="5">
        <v>0.1</v>
      </c>
      <c r="I492" t="s">
        <v>37</v>
      </c>
      <c r="J492" s="7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1">
        <v>45310</v>
      </c>
      <c r="R492" s="1">
        <v>45320</v>
      </c>
      <c r="S492" t="s">
        <v>2926</v>
      </c>
    </row>
    <row r="493" spans="1:19" x14ac:dyDescent="0.3">
      <c r="A493" s="9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 s="5">
        <v>0.15</v>
      </c>
      <c r="I493" t="s">
        <v>39</v>
      </c>
      <c r="J493" s="7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1">
        <v>45263</v>
      </c>
      <c r="R493" s="1">
        <v>45265</v>
      </c>
      <c r="S493" t="s">
        <v>2922</v>
      </c>
    </row>
    <row r="494" spans="1:19" x14ac:dyDescent="0.3">
      <c r="A494" s="9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 s="5">
        <v>0.05</v>
      </c>
      <c r="I494" t="s">
        <v>41</v>
      </c>
      <c r="J494" s="7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1">
        <v>45462</v>
      </c>
      <c r="R494" s="1">
        <v>45470</v>
      </c>
      <c r="S494" t="s">
        <v>2925</v>
      </c>
    </row>
    <row r="495" spans="1:19" x14ac:dyDescent="0.3">
      <c r="A495" s="9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 s="5">
        <v>0.05</v>
      </c>
      <c r="I495" t="s">
        <v>42</v>
      </c>
      <c r="J495" s="7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1">
        <v>45581</v>
      </c>
      <c r="R495" s="1">
        <v>45586</v>
      </c>
      <c r="S495" t="s">
        <v>2926</v>
      </c>
    </row>
    <row r="496" spans="1:19" x14ac:dyDescent="0.3">
      <c r="A496" s="9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 s="5">
        <v>0.15</v>
      </c>
      <c r="I496" t="s">
        <v>41</v>
      </c>
      <c r="J496" s="7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1">
        <v>45680</v>
      </c>
      <c r="R496" s="1">
        <v>45684</v>
      </c>
      <c r="S496" t="s">
        <v>2922</v>
      </c>
    </row>
    <row r="497" spans="1:19" x14ac:dyDescent="0.3">
      <c r="A497" s="9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 s="5">
        <v>0.1</v>
      </c>
      <c r="I497" t="s">
        <v>41</v>
      </c>
      <c r="J497" s="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1">
        <v>45201</v>
      </c>
      <c r="R497" s="1">
        <v>45209</v>
      </c>
      <c r="S497" t="s">
        <v>2925</v>
      </c>
    </row>
    <row r="498" spans="1:19" x14ac:dyDescent="0.3">
      <c r="A498" s="9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 s="5">
        <v>0.1</v>
      </c>
      <c r="I498" t="s">
        <v>38</v>
      </c>
      <c r="J498" s="7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1">
        <v>45235</v>
      </c>
      <c r="R498" s="1">
        <v>45237</v>
      </c>
      <c r="S498" t="s">
        <v>2922</v>
      </c>
    </row>
    <row r="499" spans="1:19" x14ac:dyDescent="0.3">
      <c r="A499" s="9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 s="5">
        <v>0.05</v>
      </c>
      <c r="I499" t="s">
        <v>41</v>
      </c>
      <c r="J499" s="7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1">
        <v>45095</v>
      </c>
      <c r="R499" s="1">
        <v>45100</v>
      </c>
      <c r="S499" t="s">
        <v>2923</v>
      </c>
    </row>
    <row r="500" spans="1:19" x14ac:dyDescent="0.3">
      <c r="A500" s="9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 s="5">
        <v>0.15</v>
      </c>
      <c r="I500" t="s">
        <v>42</v>
      </c>
      <c r="J500" s="7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1">
        <v>45488</v>
      </c>
      <c r="R500" s="1">
        <v>45494</v>
      </c>
      <c r="S500" t="s">
        <v>2925</v>
      </c>
    </row>
    <row r="501" spans="1:19" x14ac:dyDescent="0.3">
      <c r="A501" s="9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 s="5">
        <v>0.1</v>
      </c>
      <c r="I501" t="s">
        <v>41</v>
      </c>
      <c r="J501" s="7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1">
        <v>45457</v>
      </c>
      <c r="R501" s="1">
        <v>45466</v>
      </c>
      <c r="S501" t="s">
        <v>2925</v>
      </c>
    </row>
    <row r="502" spans="1:19" x14ac:dyDescent="0.3">
      <c r="A502" s="9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 s="5">
        <v>0.15</v>
      </c>
      <c r="I502" t="s">
        <v>37</v>
      </c>
      <c r="J502" s="7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1">
        <v>45387</v>
      </c>
      <c r="R502" s="1">
        <v>45392</v>
      </c>
      <c r="S502" t="s">
        <v>2922</v>
      </c>
    </row>
    <row r="503" spans="1:19" x14ac:dyDescent="0.3">
      <c r="A503" s="9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 s="5">
        <v>0</v>
      </c>
      <c r="I503" t="s">
        <v>38</v>
      </c>
      <c r="J503" s="7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1">
        <v>44984</v>
      </c>
      <c r="R503" s="1">
        <v>44992</v>
      </c>
      <c r="S503" t="s">
        <v>2924</v>
      </c>
    </row>
    <row r="504" spans="1:19" x14ac:dyDescent="0.3">
      <c r="A504" s="9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 s="5">
        <v>0</v>
      </c>
      <c r="I504" t="s">
        <v>39</v>
      </c>
      <c r="J504" s="7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1">
        <v>45138</v>
      </c>
      <c r="R504" s="1">
        <v>45147</v>
      </c>
      <c r="S504" t="s">
        <v>2926</v>
      </c>
    </row>
    <row r="505" spans="1:19" x14ac:dyDescent="0.3">
      <c r="A505" s="9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 s="5">
        <v>0.15</v>
      </c>
      <c r="I505" t="s">
        <v>40</v>
      </c>
      <c r="J505" s="7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1">
        <v>44988</v>
      </c>
      <c r="R505" s="1">
        <v>44995</v>
      </c>
      <c r="S505" t="s">
        <v>2926</v>
      </c>
    </row>
    <row r="506" spans="1:19" x14ac:dyDescent="0.3">
      <c r="A506" s="9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 s="5">
        <v>0.1</v>
      </c>
      <c r="I506" t="s">
        <v>39</v>
      </c>
      <c r="J506" s="7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1">
        <v>45042</v>
      </c>
      <c r="R506" s="1">
        <v>45044</v>
      </c>
      <c r="S506" t="s">
        <v>2923</v>
      </c>
    </row>
    <row r="507" spans="1:19" x14ac:dyDescent="0.3">
      <c r="A507" s="9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 s="5">
        <v>0.1</v>
      </c>
      <c r="I507" t="s">
        <v>37</v>
      </c>
      <c r="J507" s="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1">
        <v>45584</v>
      </c>
      <c r="R507" s="1">
        <v>45592</v>
      </c>
      <c r="S507" t="s">
        <v>2922</v>
      </c>
    </row>
    <row r="508" spans="1:19" x14ac:dyDescent="0.3">
      <c r="A508" s="9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 s="5">
        <v>0.15</v>
      </c>
      <c r="I508" t="s">
        <v>40</v>
      </c>
      <c r="J508" s="7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1">
        <v>45473</v>
      </c>
      <c r="R508" s="1">
        <v>45477</v>
      </c>
      <c r="S508" t="s">
        <v>2925</v>
      </c>
    </row>
    <row r="509" spans="1:19" x14ac:dyDescent="0.3">
      <c r="A509" s="9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 s="5">
        <v>0</v>
      </c>
      <c r="I509" t="s">
        <v>37</v>
      </c>
      <c r="J509" s="7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1">
        <v>45576</v>
      </c>
      <c r="R509" s="1">
        <v>45584</v>
      </c>
      <c r="S509" t="s">
        <v>2926</v>
      </c>
    </row>
    <row r="510" spans="1:19" x14ac:dyDescent="0.3">
      <c r="A510" s="9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 s="5">
        <v>0.1</v>
      </c>
      <c r="I510" t="s">
        <v>38</v>
      </c>
      <c r="J510" s="7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1">
        <v>45822</v>
      </c>
      <c r="R510" s="1">
        <v>45831</v>
      </c>
      <c r="S510" t="s">
        <v>2925</v>
      </c>
    </row>
    <row r="511" spans="1:19" x14ac:dyDescent="0.3">
      <c r="A511" s="9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 s="5">
        <v>0.1</v>
      </c>
      <c r="I511" t="s">
        <v>42</v>
      </c>
      <c r="J511" s="7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1">
        <v>45648</v>
      </c>
      <c r="R511" s="1">
        <v>45656</v>
      </c>
      <c r="S511" t="s">
        <v>2922</v>
      </c>
    </row>
    <row r="512" spans="1:19" x14ac:dyDescent="0.3">
      <c r="A512" s="9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 s="5">
        <v>0</v>
      </c>
      <c r="I512" t="s">
        <v>41</v>
      </c>
      <c r="J512" s="7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1">
        <v>45404</v>
      </c>
      <c r="R512" s="1">
        <v>45407</v>
      </c>
      <c r="S512" t="s">
        <v>2926</v>
      </c>
    </row>
    <row r="513" spans="1:19" x14ac:dyDescent="0.3">
      <c r="A513" s="9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 s="5">
        <v>0.15</v>
      </c>
      <c r="I513" t="s">
        <v>39</v>
      </c>
      <c r="J513" s="7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1">
        <v>45682</v>
      </c>
      <c r="R513" s="1">
        <v>45686</v>
      </c>
      <c r="S513" t="s">
        <v>2924</v>
      </c>
    </row>
    <row r="514" spans="1:19" x14ac:dyDescent="0.3">
      <c r="A514" s="9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 s="5">
        <v>0.15</v>
      </c>
      <c r="I514" t="s">
        <v>37</v>
      </c>
      <c r="J514" s="7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1">
        <v>45609</v>
      </c>
      <c r="R514" s="1">
        <v>45615</v>
      </c>
      <c r="S514" t="s">
        <v>2924</v>
      </c>
    </row>
    <row r="515" spans="1:19" x14ac:dyDescent="0.3">
      <c r="A515" s="9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 s="5">
        <v>0.15</v>
      </c>
      <c r="I515" t="s">
        <v>41</v>
      </c>
      <c r="J515" s="7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1">
        <v>45001</v>
      </c>
      <c r="R515" s="1">
        <v>45006</v>
      </c>
      <c r="S515" t="s">
        <v>2922</v>
      </c>
    </row>
    <row r="516" spans="1:19" x14ac:dyDescent="0.3">
      <c r="A516" s="9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 s="5">
        <v>0.1</v>
      </c>
      <c r="I516" t="s">
        <v>37</v>
      </c>
      <c r="J516" s="7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1">
        <v>45052</v>
      </c>
      <c r="R516" s="1">
        <v>45061</v>
      </c>
      <c r="S516" t="s">
        <v>2924</v>
      </c>
    </row>
    <row r="517" spans="1:19" x14ac:dyDescent="0.3">
      <c r="A517" s="9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 s="5">
        <v>0</v>
      </c>
      <c r="I517" t="s">
        <v>39</v>
      </c>
      <c r="J517" s="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1">
        <v>45611</v>
      </c>
      <c r="R517" s="1">
        <v>45613</v>
      </c>
      <c r="S517" t="s">
        <v>2922</v>
      </c>
    </row>
    <row r="518" spans="1:19" x14ac:dyDescent="0.3">
      <c r="A518" s="9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 s="5">
        <v>0.05</v>
      </c>
      <c r="I518" t="s">
        <v>40</v>
      </c>
      <c r="J518" s="7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1">
        <v>45471</v>
      </c>
      <c r="R518" s="1">
        <v>45478</v>
      </c>
      <c r="S518" t="s">
        <v>2925</v>
      </c>
    </row>
    <row r="519" spans="1:19" x14ac:dyDescent="0.3">
      <c r="A519" s="9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 s="5">
        <v>0.15</v>
      </c>
      <c r="I519" t="s">
        <v>40</v>
      </c>
      <c r="J519" s="7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1">
        <v>45788</v>
      </c>
      <c r="R519" s="1">
        <v>45797</v>
      </c>
      <c r="S519" t="s">
        <v>2925</v>
      </c>
    </row>
    <row r="520" spans="1:19" x14ac:dyDescent="0.3">
      <c r="A520" s="9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 s="5">
        <v>0.1</v>
      </c>
      <c r="I520" t="s">
        <v>41</v>
      </c>
      <c r="J520" s="7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1">
        <v>44983</v>
      </c>
      <c r="R520" s="1">
        <v>44989</v>
      </c>
      <c r="S520" t="s">
        <v>2925</v>
      </c>
    </row>
    <row r="521" spans="1:19" x14ac:dyDescent="0.3">
      <c r="A521" s="9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 s="5">
        <v>0</v>
      </c>
      <c r="I521" t="s">
        <v>42</v>
      </c>
      <c r="J521" s="7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1">
        <v>45412</v>
      </c>
      <c r="R521" s="1">
        <v>45419</v>
      </c>
      <c r="S521" t="s">
        <v>2923</v>
      </c>
    </row>
    <row r="522" spans="1:19" x14ac:dyDescent="0.3">
      <c r="A522" s="9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 s="5">
        <v>0.15</v>
      </c>
      <c r="I522" t="s">
        <v>37</v>
      </c>
      <c r="J522" s="7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1">
        <v>45727</v>
      </c>
      <c r="R522" s="1">
        <v>45729</v>
      </c>
      <c r="S522" t="s">
        <v>2922</v>
      </c>
    </row>
    <row r="523" spans="1:19" x14ac:dyDescent="0.3">
      <c r="A523" s="9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 s="5">
        <v>0.05</v>
      </c>
      <c r="I523" t="s">
        <v>37</v>
      </c>
      <c r="J523" s="7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1">
        <v>45838</v>
      </c>
      <c r="R523" s="1">
        <v>45848</v>
      </c>
      <c r="S523" t="s">
        <v>2922</v>
      </c>
    </row>
    <row r="524" spans="1:19" x14ac:dyDescent="0.3">
      <c r="A524" s="9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 s="5">
        <v>0.05</v>
      </c>
      <c r="I524" t="s">
        <v>39</v>
      </c>
      <c r="J524" s="7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1">
        <v>45445</v>
      </c>
      <c r="R524" s="1">
        <v>45451</v>
      </c>
      <c r="S524" t="s">
        <v>2924</v>
      </c>
    </row>
    <row r="525" spans="1:19" x14ac:dyDescent="0.3">
      <c r="A525" s="9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 s="5">
        <v>0.15</v>
      </c>
      <c r="I525" t="s">
        <v>38</v>
      </c>
      <c r="J525" s="7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1">
        <v>45536</v>
      </c>
      <c r="R525" s="1">
        <v>45540</v>
      </c>
      <c r="S525" t="s">
        <v>2923</v>
      </c>
    </row>
    <row r="526" spans="1:19" x14ac:dyDescent="0.3">
      <c r="A526" s="9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 s="5">
        <v>0.1</v>
      </c>
      <c r="I526" t="s">
        <v>38</v>
      </c>
      <c r="J526" s="7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1">
        <v>45668</v>
      </c>
      <c r="R526" s="1">
        <v>45675</v>
      </c>
      <c r="S526" t="s">
        <v>2923</v>
      </c>
    </row>
    <row r="527" spans="1:19" x14ac:dyDescent="0.3">
      <c r="A527" s="9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 s="5">
        <v>0.15</v>
      </c>
      <c r="I527" t="s">
        <v>40</v>
      </c>
      <c r="J527" s="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1">
        <v>45747</v>
      </c>
      <c r="R527" s="1">
        <v>45750</v>
      </c>
      <c r="S527" t="s">
        <v>2923</v>
      </c>
    </row>
    <row r="528" spans="1:19" x14ac:dyDescent="0.3">
      <c r="A528" s="9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 s="5">
        <v>0</v>
      </c>
      <c r="I528" t="s">
        <v>39</v>
      </c>
      <c r="J528" s="7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1">
        <v>45624</v>
      </c>
      <c r="R528" s="1">
        <v>45631</v>
      </c>
      <c r="S528" t="s">
        <v>2923</v>
      </c>
    </row>
    <row r="529" spans="1:19" x14ac:dyDescent="0.3">
      <c r="A529" s="9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 s="5">
        <v>0.15</v>
      </c>
      <c r="I529" t="s">
        <v>37</v>
      </c>
      <c r="J529" s="7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1">
        <v>45112</v>
      </c>
      <c r="R529" s="1">
        <v>45114</v>
      </c>
      <c r="S529" t="s">
        <v>2924</v>
      </c>
    </row>
    <row r="530" spans="1:19" x14ac:dyDescent="0.3">
      <c r="A530" s="9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 s="5">
        <v>0.05</v>
      </c>
      <c r="I530" t="s">
        <v>38</v>
      </c>
      <c r="J530" s="7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1">
        <v>45589</v>
      </c>
      <c r="R530" s="1">
        <v>45599</v>
      </c>
      <c r="S530" t="s">
        <v>2926</v>
      </c>
    </row>
    <row r="531" spans="1:19" x14ac:dyDescent="0.3">
      <c r="A531" s="9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 s="5">
        <v>0.1</v>
      </c>
      <c r="I531" t="s">
        <v>42</v>
      </c>
      <c r="J531" s="7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1">
        <v>45755</v>
      </c>
      <c r="R531" s="1">
        <v>45763</v>
      </c>
      <c r="S531" t="s">
        <v>2924</v>
      </c>
    </row>
    <row r="532" spans="1:19" x14ac:dyDescent="0.3">
      <c r="A532" s="9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 s="5">
        <v>0.15</v>
      </c>
      <c r="I532" t="s">
        <v>38</v>
      </c>
      <c r="J532" s="7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1">
        <v>45448</v>
      </c>
      <c r="R532" s="1">
        <v>45453</v>
      </c>
      <c r="S532" t="s">
        <v>2922</v>
      </c>
    </row>
    <row r="533" spans="1:19" x14ac:dyDescent="0.3">
      <c r="A533" s="9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 s="5">
        <v>0.15</v>
      </c>
      <c r="I533" t="s">
        <v>42</v>
      </c>
      <c r="J533" s="7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1">
        <v>45680</v>
      </c>
      <c r="R533" s="1">
        <v>45686</v>
      </c>
      <c r="S533" t="s">
        <v>2926</v>
      </c>
    </row>
    <row r="534" spans="1:19" x14ac:dyDescent="0.3">
      <c r="A534" s="9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 s="5">
        <v>0.05</v>
      </c>
      <c r="I534" t="s">
        <v>40</v>
      </c>
      <c r="J534" s="7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1">
        <v>45600</v>
      </c>
      <c r="R534" s="1">
        <v>45608</v>
      </c>
      <c r="S534" t="s">
        <v>2925</v>
      </c>
    </row>
    <row r="535" spans="1:19" x14ac:dyDescent="0.3">
      <c r="A535" s="9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 s="5">
        <v>0.15</v>
      </c>
      <c r="I535" t="s">
        <v>38</v>
      </c>
      <c r="J535" s="7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1">
        <v>45292</v>
      </c>
      <c r="R535" s="1">
        <v>45296</v>
      </c>
      <c r="S535" t="s">
        <v>2926</v>
      </c>
    </row>
    <row r="536" spans="1:19" x14ac:dyDescent="0.3">
      <c r="A536" s="9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 s="5">
        <v>0</v>
      </c>
      <c r="I536" t="s">
        <v>38</v>
      </c>
      <c r="J536" s="7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1">
        <v>45391</v>
      </c>
      <c r="R536" s="1">
        <v>45399</v>
      </c>
      <c r="S536" t="s">
        <v>2925</v>
      </c>
    </row>
    <row r="537" spans="1:19" x14ac:dyDescent="0.3">
      <c r="A537" s="9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 s="5">
        <v>0</v>
      </c>
      <c r="I537" t="s">
        <v>39</v>
      </c>
      <c r="J537" s="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1">
        <v>45674</v>
      </c>
      <c r="R537" s="1">
        <v>45682</v>
      </c>
      <c r="S537" t="s">
        <v>2924</v>
      </c>
    </row>
    <row r="538" spans="1:19" x14ac:dyDescent="0.3">
      <c r="A538" s="9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 s="5">
        <v>0</v>
      </c>
      <c r="I538" t="s">
        <v>42</v>
      </c>
      <c r="J538" s="7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1">
        <v>45557</v>
      </c>
      <c r="R538" s="1">
        <v>45564</v>
      </c>
      <c r="S538" t="s">
        <v>2922</v>
      </c>
    </row>
    <row r="539" spans="1:19" x14ac:dyDescent="0.3">
      <c r="A539" s="9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 s="5">
        <v>0.1</v>
      </c>
      <c r="I539" t="s">
        <v>39</v>
      </c>
      <c r="J539" s="7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1">
        <v>44946</v>
      </c>
      <c r="R539" s="1">
        <v>44951</v>
      </c>
      <c r="S539" t="s">
        <v>2922</v>
      </c>
    </row>
    <row r="540" spans="1:19" x14ac:dyDescent="0.3">
      <c r="A540" s="9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 s="5">
        <v>0.15</v>
      </c>
      <c r="I540" t="s">
        <v>41</v>
      </c>
      <c r="J540" s="7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1">
        <v>45303</v>
      </c>
      <c r="R540" s="1">
        <v>45313</v>
      </c>
      <c r="S540" t="s">
        <v>2924</v>
      </c>
    </row>
    <row r="541" spans="1:19" x14ac:dyDescent="0.3">
      <c r="A541" s="9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 s="5">
        <v>0.05</v>
      </c>
      <c r="I541" t="s">
        <v>40</v>
      </c>
      <c r="J541" s="7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1">
        <v>45390</v>
      </c>
      <c r="R541" s="1">
        <v>45397</v>
      </c>
      <c r="S541" t="s">
        <v>2925</v>
      </c>
    </row>
    <row r="542" spans="1:19" x14ac:dyDescent="0.3">
      <c r="A542" s="9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 s="5">
        <v>0</v>
      </c>
      <c r="I542" t="s">
        <v>40</v>
      </c>
      <c r="J542" s="7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1">
        <v>45043</v>
      </c>
      <c r="R542" s="1">
        <v>45047</v>
      </c>
      <c r="S542" t="s">
        <v>2925</v>
      </c>
    </row>
    <row r="543" spans="1:19" x14ac:dyDescent="0.3">
      <c r="A543" s="9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 s="5">
        <v>0.15</v>
      </c>
      <c r="I543" t="s">
        <v>40</v>
      </c>
      <c r="J543" s="7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1">
        <v>45490</v>
      </c>
      <c r="R543" s="1">
        <v>45498</v>
      </c>
      <c r="S543" t="s">
        <v>2924</v>
      </c>
    </row>
    <row r="544" spans="1:19" x14ac:dyDescent="0.3">
      <c r="A544" s="9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 s="5">
        <v>0</v>
      </c>
      <c r="I544" t="s">
        <v>39</v>
      </c>
      <c r="J544" s="7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1">
        <v>45339</v>
      </c>
      <c r="R544" s="1">
        <v>45345</v>
      </c>
      <c r="S544" t="s">
        <v>2925</v>
      </c>
    </row>
    <row r="545" spans="1:19" x14ac:dyDescent="0.3">
      <c r="A545" s="9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 s="5">
        <v>0.05</v>
      </c>
      <c r="I545" t="s">
        <v>41</v>
      </c>
      <c r="J545" s="7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1">
        <v>45316</v>
      </c>
      <c r="R545" s="1">
        <v>45324</v>
      </c>
      <c r="S545" t="s">
        <v>2923</v>
      </c>
    </row>
    <row r="546" spans="1:19" x14ac:dyDescent="0.3">
      <c r="A546" s="9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 s="5">
        <v>0</v>
      </c>
      <c r="I546" t="s">
        <v>39</v>
      </c>
      <c r="J546" s="7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1">
        <v>45375</v>
      </c>
      <c r="R546" s="1">
        <v>45384</v>
      </c>
      <c r="S546" t="s">
        <v>2925</v>
      </c>
    </row>
    <row r="547" spans="1:19" x14ac:dyDescent="0.3">
      <c r="A547" s="9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 s="5">
        <v>0.15</v>
      </c>
      <c r="I547" t="s">
        <v>42</v>
      </c>
      <c r="J547" s="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1">
        <v>45102</v>
      </c>
      <c r="R547" s="1">
        <v>45104</v>
      </c>
      <c r="S547" t="s">
        <v>2924</v>
      </c>
    </row>
    <row r="548" spans="1:19" x14ac:dyDescent="0.3">
      <c r="A548" s="9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 s="5">
        <v>0.15</v>
      </c>
      <c r="I548" t="s">
        <v>39</v>
      </c>
      <c r="J548" s="7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1">
        <v>45033</v>
      </c>
      <c r="R548" s="1">
        <v>45036</v>
      </c>
      <c r="S548" t="s">
        <v>2923</v>
      </c>
    </row>
    <row r="549" spans="1:19" x14ac:dyDescent="0.3">
      <c r="A549" s="9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 s="5">
        <v>0</v>
      </c>
      <c r="I549" t="s">
        <v>38</v>
      </c>
      <c r="J549" s="7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1">
        <v>45105</v>
      </c>
      <c r="R549" s="1">
        <v>45107</v>
      </c>
      <c r="S549" t="s">
        <v>2922</v>
      </c>
    </row>
    <row r="550" spans="1:19" x14ac:dyDescent="0.3">
      <c r="A550" s="9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 s="5">
        <v>0.15</v>
      </c>
      <c r="I550" t="s">
        <v>38</v>
      </c>
      <c r="J550" s="7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1">
        <v>45388</v>
      </c>
      <c r="R550" s="1">
        <v>45398</v>
      </c>
      <c r="S550" t="s">
        <v>2925</v>
      </c>
    </row>
    <row r="551" spans="1:19" x14ac:dyDescent="0.3">
      <c r="A551" s="9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 s="5">
        <v>0</v>
      </c>
      <c r="I551" t="s">
        <v>37</v>
      </c>
      <c r="J551" s="7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1">
        <v>45705</v>
      </c>
      <c r="R551" s="1">
        <v>45707</v>
      </c>
      <c r="S551" t="s">
        <v>2923</v>
      </c>
    </row>
    <row r="552" spans="1:19" x14ac:dyDescent="0.3">
      <c r="A552" s="9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 s="5">
        <v>0</v>
      </c>
      <c r="I552" t="s">
        <v>39</v>
      </c>
      <c r="J552" s="7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1">
        <v>44934</v>
      </c>
      <c r="R552" s="1">
        <v>44937</v>
      </c>
      <c r="S552" t="s">
        <v>2923</v>
      </c>
    </row>
    <row r="553" spans="1:19" x14ac:dyDescent="0.3">
      <c r="A553" s="9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 s="5">
        <v>0.05</v>
      </c>
      <c r="I553" t="s">
        <v>39</v>
      </c>
      <c r="J553" s="7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1">
        <v>45281</v>
      </c>
      <c r="R553" s="1">
        <v>45291</v>
      </c>
      <c r="S553" t="s">
        <v>2923</v>
      </c>
    </row>
    <row r="554" spans="1:19" x14ac:dyDescent="0.3">
      <c r="A554" s="9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 s="5">
        <v>0.1</v>
      </c>
      <c r="I554" t="s">
        <v>42</v>
      </c>
      <c r="J554" s="7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1">
        <v>45486</v>
      </c>
      <c r="R554" s="1">
        <v>45488</v>
      </c>
      <c r="S554" t="s">
        <v>2924</v>
      </c>
    </row>
    <row r="555" spans="1:19" x14ac:dyDescent="0.3">
      <c r="A555" s="9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 s="5">
        <v>0.15</v>
      </c>
      <c r="I555" t="s">
        <v>40</v>
      </c>
      <c r="J555" s="7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1">
        <v>45374</v>
      </c>
      <c r="R555" s="1">
        <v>45383</v>
      </c>
      <c r="S555" t="s">
        <v>2926</v>
      </c>
    </row>
    <row r="556" spans="1:19" x14ac:dyDescent="0.3">
      <c r="A556" s="9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 s="5">
        <v>0</v>
      </c>
      <c r="I556" t="s">
        <v>40</v>
      </c>
      <c r="J556" s="7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1">
        <v>45370</v>
      </c>
      <c r="R556" s="1">
        <v>45376</v>
      </c>
      <c r="S556" t="s">
        <v>2926</v>
      </c>
    </row>
    <row r="557" spans="1:19" x14ac:dyDescent="0.3">
      <c r="A557" s="9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 s="5">
        <v>0</v>
      </c>
      <c r="I557" t="s">
        <v>40</v>
      </c>
      <c r="J557" s="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1">
        <v>45797</v>
      </c>
      <c r="R557" s="1">
        <v>45806</v>
      </c>
      <c r="S557" t="s">
        <v>2925</v>
      </c>
    </row>
    <row r="558" spans="1:19" x14ac:dyDescent="0.3">
      <c r="A558" s="9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 s="5">
        <v>0</v>
      </c>
      <c r="I558" t="s">
        <v>40</v>
      </c>
      <c r="J558" s="7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1">
        <v>45676</v>
      </c>
      <c r="R558" s="1">
        <v>45683</v>
      </c>
      <c r="S558" t="s">
        <v>2923</v>
      </c>
    </row>
    <row r="559" spans="1:19" x14ac:dyDescent="0.3">
      <c r="A559" s="9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 s="5">
        <v>0.1</v>
      </c>
      <c r="I559" t="s">
        <v>41</v>
      </c>
      <c r="J559" s="7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1">
        <v>45074</v>
      </c>
      <c r="R559" s="1">
        <v>45078</v>
      </c>
      <c r="S559" t="s">
        <v>2923</v>
      </c>
    </row>
    <row r="560" spans="1:19" x14ac:dyDescent="0.3">
      <c r="A560" s="9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 s="5">
        <v>0.15</v>
      </c>
      <c r="I560" t="s">
        <v>41</v>
      </c>
      <c r="J560" s="7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1">
        <v>45227</v>
      </c>
      <c r="R560" s="1">
        <v>45233</v>
      </c>
      <c r="S560" t="s">
        <v>2922</v>
      </c>
    </row>
    <row r="561" spans="1:19" x14ac:dyDescent="0.3">
      <c r="A561" s="9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 s="5">
        <v>0</v>
      </c>
      <c r="I561" t="s">
        <v>37</v>
      </c>
      <c r="J561" s="7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1">
        <v>45255</v>
      </c>
      <c r="R561" s="1">
        <v>45262</v>
      </c>
      <c r="S561" t="s">
        <v>2926</v>
      </c>
    </row>
    <row r="562" spans="1:19" x14ac:dyDescent="0.3">
      <c r="A562" s="9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 s="5">
        <v>0</v>
      </c>
      <c r="I562" t="s">
        <v>41</v>
      </c>
      <c r="J562" s="7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1">
        <v>45613</v>
      </c>
      <c r="R562" s="1">
        <v>45620</v>
      </c>
      <c r="S562" t="s">
        <v>2923</v>
      </c>
    </row>
    <row r="563" spans="1:19" x14ac:dyDescent="0.3">
      <c r="A563" s="9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 s="5">
        <v>0.15</v>
      </c>
      <c r="I563" t="s">
        <v>42</v>
      </c>
      <c r="J563" s="7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1">
        <v>45315</v>
      </c>
      <c r="R563" s="1">
        <v>45320</v>
      </c>
      <c r="S563" t="s">
        <v>2925</v>
      </c>
    </row>
    <row r="564" spans="1:19" x14ac:dyDescent="0.3">
      <c r="A564" s="9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 s="5">
        <v>0.15</v>
      </c>
      <c r="I564" t="s">
        <v>39</v>
      </c>
      <c r="J564" s="7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1">
        <v>45096</v>
      </c>
      <c r="R564" s="1">
        <v>45106</v>
      </c>
      <c r="S564" t="s">
        <v>2924</v>
      </c>
    </row>
    <row r="565" spans="1:19" x14ac:dyDescent="0.3">
      <c r="A565" s="9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 s="5">
        <v>0</v>
      </c>
      <c r="I565" t="s">
        <v>38</v>
      </c>
      <c r="J565" s="7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1">
        <v>45670</v>
      </c>
      <c r="R565" s="1">
        <v>45675</v>
      </c>
      <c r="S565" t="s">
        <v>2922</v>
      </c>
    </row>
    <row r="566" spans="1:19" x14ac:dyDescent="0.3">
      <c r="A566" s="9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 s="5">
        <v>0.1</v>
      </c>
      <c r="I566" t="s">
        <v>41</v>
      </c>
      <c r="J566" s="7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1">
        <v>45315</v>
      </c>
      <c r="R566" s="1">
        <v>45323</v>
      </c>
      <c r="S566" t="s">
        <v>2922</v>
      </c>
    </row>
    <row r="567" spans="1:19" x14ac:dyDescent="0.3">
      <c r="A567" s="9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 s="5">
        <v>0</v>
      </c>
      <c r="I567" t="s">
        <v>42</v>
      </c>
      <c r="J567" s="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1">
        <v>45663</v>
      </c>
      <c r="R567" s="1">
        <v>45671</v>
      </c>
      <c r="S567" t="s">
        <v>2923</v>
      </c>
    </row>
    <row r="568" spans="1:19" x14ac:dyDescent="0.3">
      <c r="A568" s="9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 s="5">
        <v>0.05</v>
      </c>
      <c r="I568" t="s">
        <v>38</v>
      </c>
      <c r="J568" s="7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1">
        <v>45659</v>
      </c>
      <c r="R568" s="1">
        <v>45666</v>
      </c>
      <c r="S568" t="s">
        <v>2925</v>
      </c>
    </row>
    <row r="569" spans="1:19" x14ac:dyDescent="0.3">
      <c r="A569" s="9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 s="5">
        <v>0.1</v>
      </c>
      <c r="I569" t="s">
        <v>39</v>
      </c>
      <c r="J569" s="7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1">
        <v>44979</v>
      </c>
      <c r="R569" s="1">
        <v>44988</v>
      </c>
      <c r="S569" t="s">
        <v>2924</v>
      </c>
    </row>
    <row r="570" spans="1:19" x14ac:dyDescent="0.3">
      <c r="A570" s="9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 s="5">
        <v>0.1</v>
      </c>
      <c r="I570" t="s">
        <v>38</v>
      </c>
      <c r="J570" s="7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1">
        <v>45694</v>
      </c>
      <c r="R570" s="1">
        <v>45704</v>
      </c>
      <c r="S570" t="s">
        <v>2922</v>
      </c>
    </row>
    <row r="571" spans="1:19" x14ac:dyDescent="0.3">
      <c r="A571" s="9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 s="5">
        <v>0.05</v>
      </c>
      <c r="I571" t="s">
        <v>42</v>
      </c>
      <c r="J571" s="7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1">
        <v>45561</v>
      </c>
      <c r="R571" s="1">
        <v>45565</v>
      </c>
      <c r="S571" t="s">
        <v>2922</v>
      </c>
    </row>
    <row r="572" spans="1:19" x14ac:dyDescent="0.3">
      <c r="A572" s="9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 s="5">
        <v>0</v>
      </c>
      <c r="I572" t="s">
        <v>39</v>
      </c>
      <c r="J572" s="7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1">
        <v>45744</v>
      </c>
      <c r="R572" s="1">
        <v>45748</v>
      </c>
      <c r="S572" t="s">
        <v>2924</v>
      </c>
    </row>
    <row r="573" spans="1:19" x14ac:dyDescent="0.3">
      <c r="A573" s="9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 s="5">
        <v>0.05</v>
      </c>
      <c r="I573" t="s">
        <v>37</v>
      </c>
      <c r="J573" s="7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1">
        <v>45108</v>
      </c>
      <c r="R573" s="1">
        <v>45116</v>
      </c>
      <c r="S573" t="s">
        <v>2922</v>
      </c>
    </row>
    <row r="574" spans="1:19" x14ac:dyDescent="0.3">
      <c r="A574" s="9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 s="5">
        <v>0.1</v>
      </c>
      <c r="I574" t="s">
        <v>38</v>
      </c>
      <c r="J574" s="7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1">
        <v>45045</v>
      </c>
      <c r="R574" s="1">
        <v>45050</v>
      </c>
      <c r="S574" t="s">
        <v>2926</v>
      </c>
    </row>
    <row r="575" spans="1:19" x14ac:dyDescent="0.3">
      <c r="A575" s="9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 s="5">
        <v>0</v>
      </c>
      <c r="I575" t="s">
        <v>40</v>
      </c>
      <c r="J575" s="7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1">
        <v>45046</v>
      </c>
      <c r="R575" s="1">
        <v>45052</v>
      </c>
      <c r="S575" t="s">
        <v>2922</v>
      </c>
    </row>
    <row r="576" spans="1:19" x14ac:dyDescent="0.3">
      <c r="A576" s="9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 s="5">
        <v>0</v>
      </c>
      <c r="I576" t="s">
        <v>37</v>
      </c>
      <c r="J576" s="7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1">
        <v>45365</v>
      </c>
      <c r="R576" s="1">
        <v>45371</v>
      </c>
      <c r="S576" t="s">
        <v>2926</v>
      </c>
    </row>
    <row r="577" spans="1:19" x14ac:dyDescent="0.3">
      <c r="A577" s="9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 s="5">
        <v>0.15</v>
      </c>
      <c r="I577" t="s">
        <v>38</v>
      </c>
      <c r="J577" s="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1">
        <v>45104</v>
      </c>
      <c r="R577" s="1">
        <v>45109</v>
      </c>
      <c r="S577" t="s">
        <v>2925</v>
      </c>
    </row>
    <row r="578" spans="1:19" x14ac:dyDescent="0.3">
      <c r="A578" s="9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 s="5">
        <v>0</v>
      </c>
      <c r="I578" t="s">
        <v>40</v>
      </c>
      <c r="J578" s="7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1">
        <v>45392</v>
      </c>
      <c r="R578" s="1">
        <v>45394</v>
      </c>
      <c r="S578" t="s">
        <v>2924</v>
      </c>
    </row>
    <row r="579" spans="1:19" x14ac:dyDescent="0.3">
      <c r="A579" s="9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 s="5">
        <v>0.15</v>
      </c>
      <c r="I579" t="s">
        <v>42</v>
      </c>
      <c r="J579" s="7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1">
        <v>45168</v>
      </c>
      <c r="R579" s="1">
        <v>45170</v>
      </c>
      <c r="S579" t="s">
        <v>2925</v>
      </c>
    </row>
    <row r="580" spans="1:19" x14ac:dyDescent="0.3">
      <c r="A580" s="9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 s="5">
        <v>0.05</v>
      </c>
      <c r="I580" t="s">
        <v>42</v>
      </c>
      <c r="J580" s="7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1">
        <v>45222</v>
      </c>
      <c r="R580" s="1">
        <v>45229</v>
      </c>
      <c r="S580" t="s">
        <v>2926</v>
      </c>
    </row>
    <row r="581" spans="1:19" x14ac:dyDescent="0.3">
      <c r="A581" s="9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 s="5">
        <v>0.1</v>
      </c>
      <c r="I581" t="s">
        <v>40</v>
      </c>
      <c r="J581" s="7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1">
        <v>45008</v>
      </c>
      <c r="R581" s="1">
        <v>45015</v>
      </c>
      <c r="S581" t="s">
        <v>2924</v>
      </c>
    </row>
    <row r="582" spans="1:19" x14ac:dyDescent="0.3">
      <c r="A582" s="9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 s="5">
        <v>0.15</v>
      </c>
      <c r="I582" t="s">
        <v>39</v>
      </c>
      <c r="J582" s="7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1">
        <v>45556</v>
      </c>
      <c r="R582" s="1">
        <v>45565</v>
      </c>
      <c r="S582" t="s">
        <v>2925</v>
      </c>
    </row>
    <row r="583" spans="1:19" x14ac:dyDescent="0.3">
      <c r="A583" s="9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 s="5">
        <v>0.1</v>
      </c>
      <c r="I583" t="s">
        <v>42</v>
      </c>
      <c r="J583" s="7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1">
        <v>45652</v>
      </c>
      <c r="R583" s="1">
        <v>45660</v>
      </c>
      <c r="S583" t="s">
        <v>2926</v>
      </c>
    </row>
    <row r="584" spans="1:19" x14ac:dyDescent="0.3">
      <c r="A584" s="9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 s="5">
        <v>0</v>
      </c>
      <c r="I584" t="s">
        <v>41</v>
      </c>
      <c r="J584" s="7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1">
        <v>44983</v>
      </c>
      <c r="R584" s="1">
        <v>44988</v>
      </c>
      <c r="S584" t="s">
        <v>2922</v>
      </c>
    </row>
    <row r="585" spans="1:19" x14ac:dyDescent="0.3">
      <c r="A585" s="9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 s="5">
        <v>0</v>
      </c>
      <c r="I585" t="s">
        <v>41</v>
      </c>
      <c r="J585" s="7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1">
        <v>45636</v>
      </c>
      <c r="R585" s="1">
        <v>45640</v>
      </c>
      <c r="S585" t="s">
        <v>2924</v>
      </c>
    </row>
    <row r="586" spans="1:19" x14ac:dyDescent="0.3">
      <c r="A586" s="9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 s="5">
        <v>0.1</v>
      </c>
      <c r="I586" t="s">
        <v>37</v>
      </c>
      <c r="J586" s="7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1">
        <v>45658</v>
      </c>
      <c r="R586" s="1">
        <v>45660</v>
      </c>
      <c r="S586" t="s">
        <v>2922</v>
      </c>
    </row>
    <row r="587" spans="1:19" x14ac:dyDescent="0.3">
      <c r="A587" s="9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 s="5">
        <v>0.15</v>
      </c>
      <c r="I587" t="s">
        <v>41</v>
      </c>
      <c r="J587" s="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1">
        <v>45730</v>
      </c>
      <c r="R587" s="1">
        <v>45737</v>
      </c>
      <c r="S587" t="s">
        <v>2922</v>
      </c>
    </row>
    <row r="588" spans="1:19" x14ac:dyDescent="0.3">
      <c r="A588" s="9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 s="5">
        <v>0.1</v>
      </c>
      <c r="I588" t="s">
        <v>40</v>
      </c>
      <c r="J588" s="7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1">
        <v>45307</v>
      </c>
      <c r="R588" s="1">
        <v>45311</v>
      </c>
      <c r="S588" t="s">
        <v>2923</v>
      </c>
    </row>
    <row r="589" spans="1:19" x14ac:dyDescent="0.3">
      <c r="A589" s="9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 s="5">
        <v>0</v>
      </c>
      <c r="I589" t="s">
        <v>37</v>
      </c>
      <c r="J589" s="7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1">
        <v>45401</v>
      </c>
      <c r="R589" s="1">
        <v>45407</v>
      </c>
      <c r="S589" t="s">
        <v>2926</v>
      </c>
    </row>
    <row r="590" spans="1:19" x14ac:dyDescent="0.3">
      <c r="A590" s="9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 s="5">
        <v>0.05</v>
      </c>
      <c r="I590" t="s">
        <v>39</v>
      </c>
      <c r="J590" s="7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1">
        <v>45268</v>
      </c>
      <c r="R590" s="1">
        <v>45271</v>
      </c>
      <c r="S590" t="s">
        <v>2924</v>
      </c>
    </row>
    <row r="591" spans="1:19" x14ac:dyDescent="0.3">
      <c r="A591" s="9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 s="5">
        <v>0.05</v>
      </c>
      <c r="I591" t="s">
        <v>41</v>
      </c>
      <c r="J591" s="7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1">
        <v>45000</v>
      </c>
      <c r="R591" s="1">
        <v>45004</v>
      </c>
      <c r="S591" t="s">
        <v>2924</v>
      </c>
    </row>
    <row r="592" spans="1:19" x14ac:dyDescent="0.3">
      <c r="A592" s="9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 s="5">
        <v>0.15</v>
      </c>
      <c r="I592" t="s">
        <v>41</v>
      </c>
      <c r="J592" s="7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1">
        <v>45695</v>
      </c>
      <c r="R592" s="1">
        <v>45701</v>
      </c>
      <c r="S592" t="s">
        <v>2923</v>
      </c>
    </row>
    <row r="593" spans="1:19" x14ac:dyDescent="0.3">
      <c r="A593" s="9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 s="5">
        <v>0.05</v>
      </c>
      <c r="I593" t="s">
        <v>40</v>
      </c>
      <c r="J593" s="7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1">
        <v>45835</v>
      </c>
      <c r="R593" s="1">
        <v>45840</v>
      </c>
      <c r="S593" t="s">
        <v>2924</v>
      </c>
    </row>
    <row r="594" spans="1:19" x14ac:dyDescent="0.3">
      <c r="A594" s="9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 s="5">
        <v>0.05</v>
      </c>
      <c r="I594" t="s">
        <v>39</v>
      </c>
      <c r="J594" s="7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1">
        <v>45643</v>
      </c>
      <c r="R594" s="1">
        <v>45646</v>
      </c>
      <c r="S594" t="s">
        <v>2925</v>
      </c>
    </row>
    <row r="595" spans="1:19" x14ac:dyDescent="0.3">
      <c r="A595" s="9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 s="5">
        <v>0.05</v>
      </c>
      <c r="I595" t="s">
        <v>37</v>
      </c>
      <c r="J595" s="7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1">
        <v>45415</v>
      </c>
      <c r="R595" s="1">
        <v>45423</v>
      </c>
      <c r="S595" t="s">
        <v>2923</v>
      </c>
    </row>
    <row r="596" spans="1:19" x14ac:dyDescent="0.3">
      <c r="A596" s="9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 s="5">
        <v>0.1</v>
      </c>
      <c r="I596" t="s">
        <v>40</v>
      </c>
      <c r="J596" s="7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1">
        <v>45286</v>
      </c>
      <c r="R596" s="1">
        <v>45292</v>
      </c>
      <c r="S596" t="s">
        <v>2923</v>
      </c>
    </row>
    <row r="597" spans="1:19" x14ac:dyDescent="0.3">
      <c r="A597" s="9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 s="5">
        <v>0.05</v>
      </c>
      <c r="I597" t="s">
        <v>39</v>
      </c>
      <c r="J597" s="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1">
        <v>45425</v>
      </c>
      <c r="R597" s="1">
        <v>45431</v>
      </c>
      <c r="S597" t="s">
        <v>2925</v>
      </c>
    </row>
    <row r="598" spans="1:19" x14ac:dyDescent="0.3">
      <c r="A598" s="9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 s="5">
        <v>0</v>
      </c>
      <c r="I598" t="s">
        <v>38</v>
      </c>
      <c r="J598" s="7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1">
        <v>45206</v>
      </c>
      <c r="R598" s="1">
        <v>45215</v>
      </c>
      <c r="S598" t="s">
        <v>2923</v>
      </c>
    </row>
    <row r="599" spans="1:19" x14ac:dyDescent="0.3">
      <c r="A599" s="9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 s="5">
        <v>0</v>
      </c>
      <c r="I599" t="s">
        <v>41</v>
      </c>
      <c r="J599" s="7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1">
        <v>45118</v>
      </c>
      <c r="R599" s="1">
        <v>45120</v>
      </c>
      <c r="S599" t="s">
        <v>2926</v>
      </c>
    </row>
    <row r="600" spans="1:19" x14ac:dyDescent="0.3">
      <c r="A600" s="9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 s="5">
        <v>0.05</v>
      </c>
      <c r="I600" t="s">
        <v>38</v>
      </c>
      <c r="J600" s="7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1">
        <v>45688</v>
      </c>
      <c r="R600" s="1">
        <v>45694</v>
      </c>
      <c r="S600" t="s">
        <v>2923</v>
      </c>
    </row>
    <row r="601" spans="1:19" x14ac:dyDescent="0.3">
      <c r="A601" s="9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 s="5">
        <v>0.05</v>
      </c>
      <c r="I601" t="s">
        <v>40</v>
      </c>
      <c r="J601" s="7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1">
        <v>44961</v>
      </c>
      <c r="R601" s="1">
        <v>44964</v>
      </c>
      <c r="S601" t="s">
        <v>2923</v>
      </c>
    </row>
    <row r="602" spans="1:19" x14ac:dyDescent="0.3">
      <c r="A602" s="9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 s="5">
        <v>0.1</v>
      </c>
      <c r="I602" t="s">
        <v>39</v>
      </c>
      <c r="J602" s="7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1">
        <v>45171</v>
      </c>
      <c r="R602" s="1">
        <v>45181</v>
      </c>
      <c r="S602" t="s">
        <v>2923</v>
      </c>
    </row>
    <row r="603" spans="1:19" x14ac:dyDescent="0.3">
      <c r="A603" s="9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 s="5">
        <v>0.15</v>
      </c>
      <c r="I603" t="s">
        <v>38</v>
      </c>
      <c r="J603" s="7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1">
        <v>45639</v>
      </c>
      <c r="R603" s="1">
        <v>45641</v>
      </c>
      <c r="S603" t="s">
        <v>2925</v>
      </c>
    </row>
    <row r="604" spans="1:19" x14ac:dyDescent="0.3">
      <c r="A604" s="9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 s="5">
        <v>0</v>
      </c>
      <c r="I604" t="s">
        <v>40</v>
      </c>
      <c r="J604" s="7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1">
        <v>45212</v>
      </c>
      <c r="R604" s="1">
        <v>45221</v>
      </c>
      <c r="S604" t="s">
        <v>2925</v>
      </c>
    </row>
    <row r="605" spans="1:19" x14ac:dyDescent="0.3">
      <c r="A605" s="9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 s="5">
        <v>0.1</v>
      </c>
      <c r="I605" t="s">
        <v>41</v>
      </c>
      <c r="J605" s="7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1">
        <v>45568</v>
      </c>
      <c r="R605" s="1">
        <v>45572</v>
      </c>
      <c r="S605" t="s">
        <v>2923</v>
      </c>
    </row>
    <row r="606" spans="1:19" x14ac:dyDescent="0.3">
      <c r="A606" s="9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 s="5">
        <v>0.1</v>
      </c>
      <c r="I606" t="s">
        <v>41</v>
      </c>
      <c r="J606" s="7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1">
        <v>45410</v>
      </c>
      <c r="R606" s="1">
        <v>45416</v>
      </c>
      <c r="S606" t="s">
        <v>2925</v>
      </c>
    </row>
    <row r="607" spans="1:19" x14ac:dyDescent="0.3">
      <c r="A607" s="9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 s="5">
        <v>0.15</v>
      </c>
      <c r="I607" t="s">
        <v>42</v>
      </c>
      <c r="J607" s="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1">
        <v>45329</v>
      </c>
      <c r="R607" s="1">
        <v>45336</v>
      </c>
      <c r="S607" t="s">
        <v>2925</v>
      </c>
    </row>
    <row r="608" spans="1:19" x14ac:dyDescent="0.3">
      <c r="A608" s="9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 s="5">
        <v>0.15</v>
      </c>
      <c r="I608" t="s">
        <v>38</v>
      </c>
      <c r="J608" s="7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1">
        <v>44965</v>
      </c>
      <c r="R608" s="1">
        <v>44968</v>
      </c>
      <c r="S608" t="s">
        <v>2923</v>
      </c>
    </row>
    <row r="609" spans="1:19" x14ac:dyDescent="0.3">
      <c r="A609" s="9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 s="5">
        <v>0.15</v>
      </c>
      <c r="I609" t="s">
        <v>41</v>
      </c>
      <c r="J609" s="7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1">
        <v>45094</v>
      </c>
      <c r="R609" s="1">
        <v>45096</v>
      </c>
      <c r="S609" t="s">
        <v>2923</v>
      </c>
    </row>
    <row r="610" spans="1:19" x14ac:dyDescent="0.3">
      <c r="A610" s="9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 s="5">
        <v>0.1</v>
      </c>
      <c r="I610" t="s">
        <v>42</v>
      </c>
      <c r="J610" s="7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1">
        <v>45502</v>
      </c>
      <c r="R610" s="1">
        <v>45505</v>
      </c>
      <c r="S610" t="s">
        <v>2926</v>
      </c>
    </row>
    <row r="611" spans="1:19" x14ac:dyDescent="0.3">
      <c r="A611" s="9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 s="5">
        <v>0</v>
      </c>
      <c r="I611" t="s">
        <v>38</v>
      </c>
      <c r="J611" s="7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1">
        <v>45320</v>
      </c>
      <c r="R611" s="1">
        <v>45323</v>
      </c>
      <c r="S611" t="s">
        <v>2926</v>
      </c>
    </row>
    <row r="612" spans="1:19" x14ac:dyDescent="0.3">
      <c r="A612" s="9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 s="5">
        <v>0.1</v>
      </c>
      <c r="I612" t="s">
        <v>39</v>
      </c>
      <c r="J612" s="7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1">
        <v>45309</v>
      </c>
      <c r="R612" s="1">
        <v>45314</v>
      </c>
      <c r="S612" t="s">
        <v>2922</v>
      </c>
    </row>
    <row r="613" spans="1:19" x14ac:dyDescent="0.3">
      <c r="A613" s="9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 s="5">
        <v>0</v>
      </c>
      <c r="I613" t="s">
        <v>42</v>
      </c>
      <c r="J613" s="7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1">
        <v>45516</v>
      </c>
      <c r="R613" s="1">
        <v>45526</v>
      </c>
      <c r="S613" t="s">
        <v>2924</v>
      </c>
    </row>
    <row r="614" spans="1:19" x14ac:dyDescent="0.3">
      <c r="A614" s="9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 s="5">
        <v>0.1</v>
      </c>
      <c r="I614" t="s">
        <v>39</v>
      </c>
      <c r="J614" s="7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1">
        <v>45763</v>
      </c>
      <c r="R614" s="1">
        <v>45767</v>
      </c>
      <c r="S614" t="s">
        <v>2926</v>
      </c>
    </row>
    <row r="615" spans="1:19" x14ac:dyDescent="0.3">
      <c r="A615" s="9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 s="5">
        <v>0.1</v>
      </c>
      <c r="I615" t="s">
        <v>41</v>
      </c>
      <c r="J615" s="7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1">
        <v>44983</v>
      </c>
      <c r="R615" s="1">
        <v>44987</v>
      </c>
      <c r="S615" t="s">
        <v>2925</v>
      </c>
    </row>
    <row r="616" spans="1:19" x14ac:dyDescent="0.3">
      <c r="A616" s="9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 s="5">
        <v>0.05</v>
      </c>
      <c r="I616" t="s">
        <v>39</v>
      </c>
      <c r="J616" s="7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1">
        <v>44933</v>
      </c>
      <c r="R616" s="1">
        <v>44937</v>
      </c>
      <c r="S616" t="s">
        <v>2922</v>
      </c>
    </row>
    <row r="617" spans="1:19" x14ac:dyDescent="0.3">
      <c r="A617" s="9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 s="5">
        <v>0</v>
      </c>
      <c r="I617" t="s">
        <v>42</v>
      </c>
      <c r="J617" s="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1">
        <v>45223</v>
      </c>
      <c r="R617" s="1">
        <v>45233</v>
      </c>
      <c r="S617" t="s">
        <v>2923</v>
      </c>
    </row>
    <row r="618" spans="1:19" x14ac:dyDescent="0.3">
      <c r="A618" s="9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 s="5">
        <v>0.15</v>
      </c>
      <c r="I618" t="s">
        <v>39</v>
      </c>
      <c r="J618" s="7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1">
        <v>45293</v>
      </c>
      <c r="R618" s="1">
        <v>45303</v>
      </c>
      <c r="S618" t="s">
        <v>2924</v>
      </c>
    </row>
    <row r="619" spans="1:19" x14ac:dyDescent="0.3">
      <c r="A619" s="9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 s="5">
        <v>0.15</v>
      </c>
      <c r="I619" t="s">
        <v>37</v>
      </c>
      <c r="J619" s="7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1">
        <v>45552</v>
      </c>
      <c r="R619" s="1">
        <v>45560</v>
      </c>
      <c r="S619" t="s">
        <v>2923</v>
      </c>
    </row>
    <row r="620" spans="1:19" x14ac:dyDescent="0.3">
      <c r="A620" s="9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 s="5">
        <v>0.05</v>
      </c>
      <c r="I620" t="s">
        <v>38</v>
      </c>
      <c r="J620" s="7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1">
        <v>45417</v>
      </c>
      <c r="R620" s="1">
        <v>45423</v>
      </c>
      <c r="S620" t="s">
        <v>2925</v>
      </c>
    </row>
    <row r="621" spans="1:19" x14ac:dyDescent="0.3">
      <c r="A621" s="9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 s="5">
        <v>0</v>
      </c>
      <c r="I621" t="s">
        <v>39</v>
      </c>
      <c r="J621" s="7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1">
        <v>45835</v>
      </c>
      <c r="R621" s="1">
        <v>45837</v>
      </c>
      <c r="S621" t="s">
        <v>2926</v>
      </c>
    </row>
    <row r="622" spans="1:19" x14ac:dyDescent="0.3">
      <c r="A622" s="9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 s="5">
        <v>0.15</v>
      </c>
      <c r="I622" t="s">
        <v>38</v>
      </c>
      <c r="J622" s="7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1">
        <v>45426</v>
      </c>
      <c r="R622" s="1">
        <v>45434</v>
      </c>
      <c r="S622" t="s">
        <v>2926</v>
      </c>
    </row>
    <row r="623" spans="1:19" x14ac:dyDescent="0.3">
      <c r="A623" s="9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 s="5">
        <v>0.15</v>
      </c>
      <c r="I623" t="s">
        <v>42</v>
      </c>
      <c r="J623" s="7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1">
        <v>45351</v>
      </c>
      <c r="R623" s="1">
        <v>45356</v>
      </c>
      <c r="S623" t="s">
        <v>2924</v>
      </c>
    </row>
    <row r="624" spans="1:19" x14ac:dyDescent="0.3">
      <c r="A624" s="9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 s="5">
        <v>0.15</v>
      </c>
      <c r="I624" t="s">
        <v>41</v>
      </c>
      <c r="J624" s="7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1">
        <v>45796</v>
      </c>
      <c r="R624" s="1">
        <v>45804</v>
      </c>
      <c r="S624" t="s">
        <v>2922</v>
      </c>
    </row>
    <row r="625" spans="1:19" x14ac:dyDescent="0.3">
      <c r="A625" s="9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 s="5">
        <v>0.05</v>
      </c>
      <c r="I625" t="s">
        <v>41</v>
      </c>
      <c r="J625" s="7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1">
        <v>45628</v>
      </c>
      <c r="R625" s="1">
        <v>45630</v>
      </c>
      <c r="S625" t="s">
        <v>2922</v>
      </c>
    </row>
    <row r="626" spans="1:19" x14ac:dyDescent="0.3">
      <c r="A626" s="9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 s="5">
        <v>0.15</v>
      </c>
      <c r="I626" t="s">
        <v>38</v>
      </c>
      <c r="J626" s="7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1">
        <v>45503</v>
      </c>
      <c r="R626" s="1">
        <v>45508</v>
      </c>
      <c r="S626" t="s">
        <v>2926</v>
      </c>
    </row>
    <row r="627" spans="1:19" x14ac:dyDescent="0.3">
      <c r="A627" s="9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 s="5">
        <v>0.1</v>
      </c>
      <c r="I627" t="s">
        <v>40</v>
      </c>
      <c r="J627" s="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1">
        <v>45102</v>
      </c>
      <c r="R627" s="1">
        <v>45110</v>
      </c>
      <c r="S627" t="s">
        <v>2923</v>
      </c>
    </row>
    <row r="628" spans="1:19" x14ac:dyDescent="0.3">
      <c r="A628" s="9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 s="5">
        <v>0</v>
      </c>
      <c r="I628" t="s">
        <v>39</v>
      </c>
      <c r="J628" s="7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1">
        <v>45483</v>
      </c>
      <c r="R628" s="1">
        <v>45492</v>
      </c>
      <c r="S628" t="s">
        <v>2923</v>
      </c>
    </row>
    <row r="629" spans="1:19" x14ac:dyDescent="0.3">
      <c r="A629" s="9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 s="5">
        <v>0.1</v>
      </c>
      <c r="I629" t="s">
        <v>41</v>
      </c>
      <c r="J629" s="7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1">
        <v>44932</v>
      </c>
      <c r="R629" s="1">
        <v>44941</v>
      </c>
      <c r="S629" t="s">
        <v>2922</v>
      </c>
    </row>
    <row r="630" spans="1:19" x14ac:dyDescent="0.3">
      <c r="A630" s="9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 s="5">
        <v>0.1</v>
      </c>
      <c r="I630" t="s">
        <v>40</v>
      </c>
      <c r="J630" s="7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1">
        <v>45346</v>
      </c>
      <c r="R630" s="1">
        <v>45351</v>
      </c>
      <c r="S630" t="s">
        <v>2923</v>
      </c>
    </row>
    <row r="631" spans="1:19" x14ac:dyDescent="0.3">
      <c r="A631" s="9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 s="5">
        <v>0</v>
      </c>
      <c r="I631" t="s">
        <v>41</v>
      </c>
      <c r="J631" s="7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1">
        <v>45271</v>
      </c>
      <c r="R631" s="1">
        <v>45280</v>
      </c>
      <c r="S631" t="s">
        <v>2925</v>
      </c>
    </row>
    <row r="632" spans="1:19" x14ac:dyDescent="0.3">
      <c r="A632" s="9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 s="5">
        <v>0.15</v>
      </c>
      <c r="I632" t="s">
        <v>37</v>
      </c>
      <c r="J632" s="7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1">
        <v>45707</v>
      </c>
      <c r="R632" s="1">
        <v>45711</v>
      </c>
      <c r="S632" t="s">
        <v>2923</v>
      </c>
    </row>
    <row r="633" spans="1:19" x14ac:dyDescent="0.3">
      <c r="A633" s="9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 s="5">
        <v>0.15</v>
      </c>
      <c r="I633" t="s">
        <v>38</v>
      </c>
      <c r="J633" s="7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1">
        <v>45734</v>
      </c>
      <c r="R633" s="1">
        <v>45742</v>
      </c>
      <c r="S633" t="s">
        <v>2926</v>
      </c>
    </row>
    <row r="634" spans="1:19" x14ac:dyDescent="0.3">
      <c r="A634" s="9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 s="5">
        <v>0.1</v>
      </c>
      <c r="I634" t="s">
        <v>41</v>
      </c>
      <c r="J634" s="7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1">
        <v>45191</v>
      </c>
      <c r="R634" s="1">
        <v>45196</v>
      </c>
      <c r="S634" t="s">
        <v>2923</v>
      </c>
    </row>
    <row r="635" spans="1:19" x14ac:dyDescent="0.3">
      <c r="A635" s="9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 s="5">
        <v>0</v>
      </c>
      <c r="I635" t="s">
        <v>42</v>
      </c>
      <c r="J635" s="7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1">
        <v>45283</v>
      </c>
      <c r="R635" s="1">
        <v>45288</v>
      </c>
      <c r="S635" t="s">
        <v>2926</v>
      </c>
    </row>
    <row r="636" spans="1:19" x14ac:dyDescent="0.3">
      <c r="A636" s="9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 s="5">
        <v>0.05</v>
      </c>
      <c r="I636" t="s">
        <v>39</v>
      </c>
      <c r="J636" s="7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1">
        <v>45781</v>
      </c>
      <c r="R636" s="1">
        <v>45787</v>
      </c>
      <c r="S636" t="s">
        <v>2924</v>
      </c>
    </row>
    <row r="637" spans="1:19" x14ac:dyDescent="0.3">
      <c r="A637" s="9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 s="5">
        <v>0.1</v>
      </c>
      <c r="I637" t="s">
        <v>41</v>
      </c>
      <c r="J637" s="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1">
        <v>45668</v>
      </c>
      <c r="R637" s="1">
        <v>45670</v>
      </c>
      <c r="S637" t="s">
        <v>2922</v>
      </c>
    </row>
    <row r="638" spans="1:19" x14ac:dyDescent="0.3">
      <c r="A638" s="9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 s="5">
        <v>0.05</v>
      </c>
      <c r="I638" t="s">
        <v>41</v>
      </c>
      <c r="J638" s="7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1">
        <v>45768</v>
      </c>
      <c r="R638" s="1">
        <v>45771</v>
      </c>
      <c r="S638" t="s">
        <v>2923</v>
      </c>
    </row>
    <row r="639" spans="1:19" x14ac:dyDescent="0.3">
      <c r="A639" s="9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 s="5">
        <v>0.15</v>
      </c>
      <c r="I639" t="s">
        <v>39</v>
      </c>
      <c r="J639" s="7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1">
        <v>45273</v>
      </c>
      <c r="R639" s="1">
        <v>45282</v>
      </c>
      <c r="S639" t="s">
        <v>2925</v>
      </c>
    </row>
    <row r="640" spans="1:19" x14ac:dyDescent="0.3">
      <c r="A640" s="9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 s="5">
        <v>0.1</v>
      </c>
      <c r="I640" t="s">
        <v>41</v>
      </c>
      <c r="J640" s="7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1">
        <v>45329</v>
      </c>
      <c r="R640" s="1">
        <v>45333</v>
      </c>
      <c r="S640" t="s">
        <v>2922</v>
      </c>
    </row>
    <row r="641" spans="1:19" x14ac:dyDescent="0.3">
      <c r="A641" s="9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 s="5">
        <v>0</v>
      </c>
      <c r="I641" t="s">
        <v>41</v>
      </c>
      <c r="J641" s="7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1">
        <v>45406</v>
      </c>
      <c r="R641" s="1">
        <v>45409</v>
      </c>
      <c r="S641" t="s">
        <v>2924</v>
      </c>
    </row>
    <row r="642" spans="1:19" x14ac:dyDescent="0.3">
      <c r="A642" s="9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 s="5">
        <v>0</v>
      </c>
      <c r="I642" t="s">
        <v>37</v>
      </c>
      <c r="J642" s="7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1">
        <v>45180</v>
      </c>
      <c r="R642" s="1">
        <v>45185</v>
      </c>
      <c r="S642" t="s">
        <v>2926</v>
      </c>
    </row>
    <row r="643" spans="1:19" x14ac:dyDescent="0.3">
      <c r="A643" s="9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 s="5">
        <v>0</v>
      </c>
      <c r="I643" t="s">
        <v>41</v>
      </c>
      <c r="J643" s="7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1">
        <v>45817</v>
      </c>
      <c r="R643" s="1">
        <v>45820</v>
      </c>
      <c r="S643" t="s">
        <v>2925</v>
      </c>
    </row>
    <row r="644" spans="1:19" x14ac:dyDescent="0.3">
      <c r="A644" s="9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 s="5">
        <v>0.15</v>
      </c>
      <c r="I644" t="s">
        <v>38</v>
      </c>
      <c r="J644" s="7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1">
        <v>45814</v>
      </c>
      <c r="R644" s="1">
        <v>45824</v>
      </c>
      <c r="S644" t="s">
        <v>2922</v>
      </c>
    </row>
    <row r="645" spans="1:19" x14ac:dyDescent="0.3">
      <c r="A645" s="9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 s="5">
        <v>0.1</v>
      </c>
      <c r="I645" t="s">
        <v>42</v>
      </c>
      <c r="J645" s="7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1">
        <v>45649</v>
      </c>
      <c r="R645" s="1">
        <v>45654</v>
      </c>
      <c r="S645" t="s">
        <v>2923</v>
      </c>
    </row>
    <row r="646" spans="1:19" x14ac:dyDescent="0.3">
      <c r="A646" s="9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 s="5">
        <v>0</v>
      </c>
      <c r="I646" t="s">
        <v>38</v>
      </c>
      <c r="J646" s="7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1">
        <v>45165</v>
      </c>
      <c r="R646" s="1">
        <v>45172</v>
      </c>
      <c r="S646" t="s">
        <v>2922</v>
      </c>
    </row>
    <row r="647" spans="1:19" x14ac:dyDescent="0.3">
      <c r="A647" s="9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 s="5">
        <v>0.1</v>
      </c>
      <c r="I647" t="s">
        <v>37</v>
      </c>
      <c r="J647" s="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1">
        <v>44935</v>
      </c>
      <c r="R647" s="1">
        <v>44939</v>
      </c>
      <c r="S647" t="s">
        <v>2922</v>
      </c>
    </row>
    <row r="648" spans="1:19" x14ac:dyDescent="0.3">
      <c r="A648" s="9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 s="5">
        <v>0.1</v>
      </c>
      <c r="I648" t="s">
        <v>38</v>
      </c>
      <c r="J648" s="7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1">
        <v>45769</v>
      </c>
      <c r="R648" s="1">
        <v>45772</v>
      </c>
      <c r="S648" t="s">
        <v>2922</v>
      </c>
    </row>
    <row r="649" spans="1:19" x14ac:dyDescent="0.3">
      <c r="A649" s="9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 s="5">
        <v>0.1</v>
      </c>
      <c r="I649" t="s">
        <v>38</v>
      </c>
      <c r="J649" s="7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1">
        <v>45175</v>
      </c>
      <c r="R649" s="1">
        <v>45180</v>
      </c>
      <c r="S649" t="s">
        <v>2923</v>
      </c>
    </row>
    <row r="650" spans="1:19" x14ac:dyDescent="0.3">
      <c r="A650" s="9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 s="5">
        <v>0.1</v>
      </c>
      <c r="I650" t="s">
        <v>40</v>
      </c>
      <c r="J650" s="7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1">
        <v>44947</v>
      </c>
      <c r="R650" s="1">
        <v>44953</v>
      </c>
      <c r="S650" t="s">
        <v>2922</v>
      </c>
    </row>
    <row r="651" spans="1:19" x14ac:dyDescent="0.3">
      <c r="A651" s="9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 s="5">
        <v>0</v>
      </c>
      <c r="I651" t="s">
        <v>37</v>
      </c>
      <c r="J651" s="7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1">
        <v>45408</v>
      </c>
      <c r="R651" s="1">
        <v>45418</v>
      </c>
      <c r="S651" t="s">
        <v>2925</v>
      </c>
    </row>
    <row r="652" spans="1:19" x14ac:dyDescent="0.3">
      <c r="A652" s="9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 s="5">
        <v>0.05</v>
      </c>
      <c r="I652" t="s">
        <v>38</v>
      </c>
      <c r="J652" s="7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1">
        <v>45104</v>
      </c>
      <c r="R652" s="1">
        <v>45107</v>
      </c>
      <c r="S652" t="s">
        <v>2924</v>
      </c>
    </row>
    <row r="653" spans="1:19" x14ac:dyDescent="0.3">
      <c r="A653" s="9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 s="5">
        <v>0</v>
      </c>
      <c r="I653" t="s">
        <v>42</v>
      </c>
      <c r="J653" s="7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1">
        <v>44927</v>
      </c>
      <c r="R653" s="1">
        <v>44934</v>
      </c>
      <c r="S653" t="s">
        <v>2922</v>
      </c>
    </row>
    <row r="654" spans="1:19" x14ac:dyDescent="0.3">
      <c r="A654" s="9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 s="5">
        <v>0.15</v>
      </c>
      <c r="I654" t="s">
        <v>41</v>
      </c>
      <c r="J654" s="7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1">
        <v>45290</v>
      </c>
      <c r="R654" s="1">
        <v>45293</v>
      </c>
      <c r="S654" t="s">
        <v>2926</v>
      </c>
    </row>
    <row r="655" spans="1:19" x14ac:dyDescent="0.3">
      <c r="A655" s="9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 s="5">
        <v>0.1</v>
      </c>
      <c r="I655" t="s">
        <v>41</v>
      </c>
      <c r="J655" s="7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1">
        <v>44948</v>
      </c>
      <c r="R655" s="1">
        <v>44950</v>
      </c>
      <c r="S655" t="s">
        <v>2925</v>
      </c>
    </row>
    <row r="656" spans="1:19" x14ac:dyDescent="0.3">
      <c r="A656" s="9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 s="5">
        <v>0.05</v>
      </c>
      <c r="I656" t="s">
        <v>41</v>
      </c>
      <c r="J656" s="7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1">
        <v>45500</v>
      </c>
      <c r="R656" s="1">
        <v>45509</v>
      </c>
      <c r="S656" t="s">
        <v>2923</v>
      </c>
    </row>
    <row r="657" spans="1:19" x14ac:dyDescent="0.3">
      <c r="A657" s="9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 s="5">
        <v>0</v>
      </c>
      <c r="I657" t="s">
        <v>39</v>
      </c>
      <c r="J657" s="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1">
        <v>45306</v>
      </c>
      <c r="R657" s="1">
        <v>45308</v>
      </c>
      <c r="S657" t="s">
        <v>2923</v>
      </c>
    </row>
    <row r="658" spans="1:19" x14ac:dyDescent="0.3">
      <c r="A658" s="9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 s="5">
        <v>0</v>
      </c>
      <c r="I658" t="s">
        <v>42</v>
      </c>
      <c r="J658" s="7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1">
        <v>45295</v>
      </c>
      <c r="R658" s="1">
        <v>45305</v>
      </c>
      <c r="S658" t="s">
        <v>2926</v>
      </c>
    </row>
    <row r="659" spans="1:19" x14ac:dyDescent="0.3">
      <c r="A659" s="9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 s="5">
        <v>0.05</v>
      </c>
      <c r="I659" t="s">
        <v>37</v>
      </c>
      <c r="J659" s="7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1">
        <v>44966</v>
      </c>
      <c r="R659" s="1">
        <v>44976</v>
      </c>
      <c r="S659" t="s">
        <v>2922</v>
      </c>
    </row>
    <row r="660" spans="1:19" x14ac:dyDescent="0.3">
      <c r="A660" s="9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 s="5">
        <v>0.1</v>
      </c>
      <c r="I660" t="s">
        <v>41</v>
      </c>
      <c r="J660" s="7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1">
        <v>45463</v>
      </c>
      <c r="R660" s="1">
        <v>45467</v>
      </c>
      <c r="S660" t="s">
        <v>2924</v>
      </c>
    </row>
    <row r="661" spans="1:19" x14ac:dyDescent="0.3">
      <c r="A661" s="9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 s="5">
        <v>0.05</v>
      </c>
      <c r="I661" t="s">
        <v>42</v>
      </c>
      <c r="J661" s="7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1">
        <v>44978</v>
      </c>
      <c r="R661" s="1">
        <v>44988</v>
      </c>
      <c r="S661" t="s">
        <v>2925</v>
      </c>
    </row>
    <row r="662" spans="1:19" x14ac:dyDescent="0.3">
      <c r="A662" s="9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 s="5">
        <v>0.1</v>
      </c>
      <c r="I662" t="s">
        <v>40</v>
      </c>
      <c r="J662" s="7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1">
        <v>45154</v>
      </c>
      <c r="R662" s="1">
        <v>45162</v>
      </c>
      <c r="S662" t="s">
        <v>2925</v>
      </c>
    </row>
    <row r="663" spans="1:19" x14ac:dyDescent="0.3">
      <c r="A663" s="9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 s="5">
        <v>0.1</v>
      </c>
      <c r="I663" t="s">
        <v>37</v>
      </c>
      <c r="J663" s="7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1">
        <v>45233</v>
      </c>
      <c r="R663" s="1">
        <v>45241</v>
      </c>
      <c r="S663" t="s">
        <v>2926</v>
      </c>
    </row>
    <row r="664" spans="1:19" x14ac:dyDescent="0.3">
      <c r="A664" s="9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 s="5">
        <v>0.05</v>
      </c>
      <c r="I664" t="s">
        <v>41</v>
      </c>
      <c r="J664" s="7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1">
        <v>45408</v>
      </c>
      <c r="R664" s="1">
        <v>45413</v>
      </c>
      <c r="S664" t="s">
        <v>2923</v>
      </c>
    </row>
    <row r="665" spans="1:19" x14ac:dyDescent="0.3">
      <c r="A665" s="9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 s="5">
        <v>0.15</v>
      </c>
      <c r="I665" t="s">
        <v>40</v>
      </c>
      <c r="J665" s="7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1">
        <v>45573</v>
      </c>
      <c r="R665" s="1">
        <v>45582</v>
      </c>
      <c r="S665" t="s">
        <v>2923</v>
      </c>
    </row>
    <row r="666" spans="1:19" x14ac:dyDescent="0.3">
      <c r="A666" s="9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 s="5">
        <v>0.1</v>
      </c>
      <c r="I666" t="s">
        <v>41</v>
      </c>
      <c r="J666" s="7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1">
        <v>44935</v>
      </c>
      <c r="R666" s="1">
        <v>44943</v>
      </c>
      <c r="S666" t="s">
        <v>2923</v>
      </c>
    </row>
    <row r="667" spans="1:19" x14ac:dyDescent="0.3">
      <c r="A667" s="9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 s="5">
        <v>0.05</v>
      </c>
      <c r="I667" t="s">
        <v>37</v>
      </c>
      <c r="J667" s="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1">
        <v>45285</v>
      </c>
      <c r="R667" s="1">
        <v>45293</v>
      </c>
      <c r="S667" t="s">
        <v>2924</v>
      </c>
    </row>
    <row r="668" spans="1:19" x14ac:dyDescent="0.3">
      <c r="A668" s="9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 s="5">
        <v>0</v>
      </c>
      <c r="I668" t="s">
        <v>37</v>
      </c>
      <c r="J668" s="7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1">
        <v>45423</v>
      </c>
      <c r="R668" s="1">
        <v>45432</v>
      </c>
      <c r="S668" t="s">
        <v>2925</v>
      </c>
    </row>
    <row r="669" spans="1:19" x14ac:dyDescent="0.3">
      <c r="A669" s="9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 s="5">
        <v>0</v>
      </c>
      <c r="I669" t="s">
        <v>40</v>
      </c>
      <c r="J669" s="7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1">
        <v>45253</v>
      </c>
      <c r="R669" s="1">
        <v>45256</v>
      </c>
      <c r="S669" t="s">
        <v>2926</v>
      </c>
    </row>
    <row r="670" spans="1:19" x14ac:dyDescent="0.3">
      <c r="A670" s="9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 s="5">
        <v>0.05</v>
      </c>
      <c r="I670" t="s">
        <v>40</v>
      </c>
      <c r="J670" s="7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1">
        <v>45270</v>
      </c>
      <c r="R670" s="1">
        <v>45272</v>
      </c>
      <c r="S670" t="s">
        <v>2925</v>
      </c>
    </row>
    <row r="671" spans="1:19" x14ac:dyDescent="0.3">
      <c r="A671" s="9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 s="5">
        <v>0</v>
      </c>
      <c r="I671" t="s">
        <v>39</v>
      </c>
      <c r="J671" s="7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1">
        <v>45325</v>
      </c>
      <c r="R671" s="1">
        <v>45327</v>
      </c>
      <c r="S671" t="s">
        <v>2924</v>
      </c>
    </row>
    <row r="672" spans="1:19" x14ac:dyDescent="0.3">
      <c r="A672" s="9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 s="5">
        <v>0</v>
      </c>
      <c r="I672" t="s">
        <v>37</v>
      </c>
      <c r="J672" s="7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1">
        <v>45620</v>
      </c>
      <c r="R672" s="1">
        <v>45630</v>
      </c>
      <c r="S672" t="s">
        <v>2925</v>
      </c>
    </row>
    <row r="673" spans="1:19" x14ac:dyDescent="0.3">
      <c r="A673" s="9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 s="5">
        <v>0.15</v>
      </c>
      <c r="I673" t="s">
        <v>42</v>
      </c>
      <c r="J673" s="7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1">
        <v>45357</v>
      </c>
      <c r="R673" s="1">
        <v>45362</v>
      </c>
      <c r="S673" t="s">
        <v>2926</v>
      </c>
    </row>
    <row r="674" spans="1:19" x14ac:dyDescent="0.3">
      <c r="A674" s="9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 s="5">
        <v>0.15</v>
      </c>
      <c r="I674" t="s">
        <v>42</v>
      </c>
      <c r="J674" s="7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1">
        <v>45689</v>
      </c>
      <c r="R674" s="1">
        <v>45699</v>
      </c>
      <c r="S674" t="s">
        <v>2923</v>
      </c>
    </row>
    <row r="675" spans="1:19" x14ac:dyDescent="0.3">
      <c r="A675" s="9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 s="5">
        <v>0</v>
      </c>
      <c r="I675" t="s">
        <v>40</v>
      </c>
      <c r="J675" s="7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1">
        <v>45447</v>
      </c>
      <c r="R675" s="1">
        <v>45452</v>
      </c>
      <c r="S675" t="s">
        <v>2925</v>
      </c>
    </row>
    <row r="676" spans="1:19" x14ac:dyDescent="0.3">
      <c r="A676" s="9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 s="5">
        <v>0.05</v>
      </c>
      <c r="I676" t="s">
        <v>37</v>
      </c>
      <c r="J676" s="7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1">
        <v>45144</v>
      </c>
      <c r="R676" s="1">
        <v>45151</v>
      </c>
      <c r="S676" t="s">
        <v>2925</v>
      </c>
    </row>
    <row r="677" spans="1:19" x14ac:dyDescent="0.3">
      <c r="A677" s="9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 s="5">
        <v>0.05</v>
      </c>
      <c r="I677" t="s">
        <v>42</v>
      </c>
      <c r="J677" s="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1">
        <v>45107</v>
      </c>
      <c r="R677" s="1">
        <v>45112</v>
      </c>
      <c r="S677" t="s">
        <v>2926</v>
      </c>
    </row>
    <row r="678" spans="1:19" x14ac:dyDescent="0.3">
      <c r="A678" s="9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 s="5">
        <v>0.1</v>
      </c>
      <c r="I678" t="s">
        <v>37</v>
      </c>
      <c r="J678" s="7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1">
        <v>44972</v>
      </c>
      <c r="R678" s="1">
        <v>44976</v>
      </c>
      <c r="S678" t="s">
        <v>2926</v>
      </c>
    </row>
    <row r="679" spans="1:19" x14ac:dyDescent="0.3">
      <c r="A679" s="9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 s="5">
        <v>0.05</v>
      </c>
      <c r="I679" t="s">
        <v>40</v>
      </c>
      <c r="J679" s="7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1">
        <v>45314</v>
      </c>
      <c r="R679" s="1">
        <v>45321</v>
      </c>
      <c r="S679" t="s">
        <v>2924</v>
      </c>
    </row>
    <row r="680" spans="1:19" x14ac:dyDescent="0.3">
      <c r="A680" s="9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 s="5">
        <v>0.15</v>
      </c>
      <c r="I680" t="s">
        <v>37</v>
      </c>
      <c r="J680" s="7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1">
        <v>45596</v>
      </c>
      <c r="R680" s="1">
        <v>45602</v>
      </c>
      <c r="S680" t="s">
        <v>2924</v>
      </c>
    </row>
    <row r="681" spans="1:19" x14ac:dyDescent="0.3">
      <c r="A681" s="9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 s="5">
        <v>0.15</v>
      </c>
      <c r="I681" t="s">
        <v>40</v>
      </c>
      <c r="J681" s="7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1">
        <v>45279</v>
      </c>
      <c r="R681" s="1">
        <v>45281</v>
      </c>
      <c r="S681" t="s">
        <v>2925</v>
      </c>
    </row>
    <row r="682" spans="1:19" x14ac:dyDescent="0.3">
      <c r="A682" s="9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 s="5">
        <v>0.05</v>
      </c>
      <c r="I682" t="s">
        <v>41</v>
      </c>
      <c r="J682" s="7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1">
        <v>45111</v>
      </c>
      <c r="R682" s="1">
        <v>45113</v>
      </c>
      <c r="S682" t="s">
        <v>2923</v>
      </c>
    </row>
    <row r="683" spans="1:19" x14ac:dyDescent="0.3">
      <c r="A683" s="9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 s="5">
        <v>0.15</v>
      </c>
      <c r="I683" t="s">
        <v>37</v>
      </c>
      <c r="J683" s="7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1">
        <v>45428</v>
      </c>
      <c r="R683" s="1">
        <v>45430</v>
      </c>
      <c r="S683" t="s">
        <v>2922</v>
      </c>
    </row>
    <row r="684" spans="1:19" x14ac:dyDescent="0.3">
      <c r="A684" s="9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 s="5">
        <v>0</v>
      </c>
      <c r="I684" t="s">
        <v>42</v>
      </c>
      <c r="J684" s="7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1">
        <v>45185</v>
      </c>
      <c r="R684" s="1">
        <v>45190</v>
      </c>
      <c r="S684" t="s">
        <v>2924</v>
      </c>
    </row>
    <row r="685" spans="1:19" x14ac:dyDescent="0.3">
      <c r="A685" s="9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 s="5">
        <v>0</v>
      </c>
      <c r="I685" t="s">
        <v>40</v>
      </c>
      <c r="J685" s="7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1">
        <v>45618</v>
      </c>
      <c r="R685" s="1">
        <v>45627</v>
      </c>
      <c r="S685" t="s">
        <v>2922</v>
      </c>
    </row>
    <row r="686" spans="1:19" x14ac:dyDescent="0.3">
      <c r="A686" s="9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 s="5">
        <v>0.1</v>
      </c>
      <c r="I686" t="s">
        <v>40</v>
      </c>
      <c r="J686" s="7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1">
        <v>45395</v>
      </c>
      <c r="R686" s="1">
        <v>45403</v>
      </c>
      <c r="S686" t="s">
        <v>2926</v>
      </c>
    </row>
    <row r="687" spans="1:19" x14ac:dyDescent="0.3">
      <c r="A687" s="9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 s="5">
        <v>0.1</v>
      </c>
      <c r="I687" t="s">
        <v>38</v>
      </c>
      <c r="J687" s="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1">
        <v>45473</v>
      </c>
      <c r="R687" s="1">
        <v>45479</v>
      </c>
      <c r="S687" t="s">
        <v>2923</v>
      </c>
    </row>
    <row r="688" spans="1:19" x14ac:dyDescent="0.3">
      <c r="A688" s="9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 s="5">
        <v>0.15</v>
      </c>
      <c r="I688" t="s">
        <v>41</v>
      </c>
      <c r="J688" s="7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1">
        <v>45533</v>
      </c>
      <c r="R688" s="1">
        <v>45537</v>
      </c>
      <c r="S688" t="s">
        <v>2924</v>
      </c>
    </row>
    <row r="689" spans="1:19" x14ac:dyDescent="0.3">
      <c r="A689" s="9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 s="5">
        <v>0.1</v>
      </c>
      <c r="I689" t="s">
        <v>41</v>
      </c>
      <c r="J689" s="7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1">
        <v>45286</v>
      </c>
      <c r="R689" s="1">
        <v>45291</v>
      </c>
      <c r="S689" t="s">
        <v>2925</v>
      </c>
    </row>
    <row r="690" spans="1:19" x14ac:dyDescent="0.3">
      <c r="A690" s="9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 s="5">
        <v>0.1</v>
      </c>
      <c r="I690" t="s">
        <v>42</v>
      </c>
      <c r="J690" s="7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1">
        <v>45687</v>
      </c>
      <c r="R690" s="1">
        <v>45694</v>
      </c>
      <c r="S690" t="s">
        <v>2924</v>
      </c>
    </row>
    <row r="691" spans="1:19" x14ac:dyDescent="0.3">
      <c r="A691" s="9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 s="5">
        <v>0.15</v>
      </c>
      <c r="I691" t="s">
        <v>39</v>
      </c>
      <c r="J691" s="7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1">
        <v>45063</v>
      </c>
      <c r="R691" s="1">
        <v>45071</v>
      </c>
      <c r="S691" t="s">
        <v>2923</v>
      </c>
    </row>
    <row r="692" spans="1:19" x14ac:dyDescent="0.3">
      <c r="A692" s="9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 s="5">
        <v>0.1</v>
      </c>
      <c r="I692" t="s">
        <v>40</v>
      </c>
      <c r="J692" s="7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1">
        <v>45318</v>
      </c>
      <c r="R692" s="1">
        <v>45327</v>
      </c>
      <c r="S692" t="s">
        <v>2925</v>
      </c>
    </row>
    <row r="693" spans="1:19" x14ac:dyDescent="0.3">
      <c r="A693" s="9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 s="5">
        <v>0.1</v>
      </c>
      <c r="I693" t="s">
        <v>40</v>
      </c>
      <c r="J693" s="7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1">
        <v>45803</v>
      </c>
      <c r="R693" s="1">
        <v>45810</v>
      </c>
      <c r="S693" t="s">
        <v>2922</v>
      </c>
    </row>
    <row r="694" spans="1:19" x14ac:dyDescent="0.3">
      <c r="A694" s="9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 s="5">
        <v>0</v>
      </c>
      <c r="I694" t="s">
        <v>42</v>
      </c>
      <c r="J694" s="7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1">
        <v>45725</v>
      </c>
      <c r="R694" s="1">
        <v>45733</v>
      </c>
      <c r="S694" t="s">
        <v>2924</v>
      </c>
    </row>
    <row r="695" spans="1:19" x14ac:dyDescent="0.3">
      <c r="A695" s="9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 s="5">
        <v>0.15</v>
      </c>
      <c r="I695" t="s">
        <v>39</v>
      </c>
      <c r="J695" s="7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1">
        <v>45344</v>
      </c>
      <c r="R695" s="1">
        <v>45354</v>
      </c>
      <c r="S695" t="s">
        <v>2926</v>
      </c>
    </row>
    <row r="696" spans="1:19" x14ac:dyDescent="0.3">
      <c r="A696" s="9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 s="5">
        <v>0.15</v>
      </c>
      <c r="I696" t="s">
        <v>41</v>
      </c>
      <c r="J696" s="7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1">
        <v>45691</v>
      </c>
      <c r="R696" s="1">
        <v>45696</v>
      </c>
      <c r="S696" t="s">
        <v>2922</v>
      </c>
    </row>
    <row r="697" spans="1:19" x14ac:dyDescent="0.3">
      <c r="A697" s="9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 s="5">
        <v>0.05</v>
      </c>
      <c r="I697" t="s">
        <v>38</v>
      </c>
      <c r="J697" s="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1">
        <v>45300</v>
      </c>
      <c r="R697" s="1">
        <v>45307</v>
      </c>
      <c r="S697" t="s">
        <v>2925</v>
      </c>
    </row>
    <row r="698" spans="1:19" x14ac:dyDescent="0.3">
      <c r="A698" s="9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 s="5">
        <v>0.05</v>
      </c>
      <c r="I698" t="s">
        <v>40</v>
      </c>
      <c r="J698" s="7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1">
        <v>45782</v>
      </c>
      <c r="R698" s="1">
        <v>45791</v>
      </c>
      <c r="S698" t="s">
        <v>2924</v>
      </c>
    </row>
    <row r="699" spans="1:19" x14ac:dyDescent="0.3">
      <c r="A699" s="9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 s="5">
        <v>0.1</v>
      </c>
      <c r="I699" t="s">
        <v>37</v>
      </c>
      <c r="J699" s="7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1">
        <v>45033</v>
      </c>
      <c r="R699" s="1">
        <v>45037</v>
      </c>
      <c r="S699" t="s">
        <v>2925</v>
      </c>
    </row>
    <row r="700" spans="1:19" x14ac:dyDescent="0.3">
      <c r="A700" s="9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 s="5">
        <v>0</v>
      </c>
      <c r="I700" t="s">
        <v>38</v>
      </c>
      <c r="J700" s="7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1">
        <v>45459</v>
      </c>
      <c r="R700" s="1">
        <v>45464</v>
      </c>
      <c r="S700" t="s">
        <v>2923</v>
      </c>
    </row>
    <row r="701" spans="1:19" x14ac:dyDescent="0.3">
      <c r="A701" s="9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 s="5">
        <v>0</v>
      </c>
      <c r="I701" t="s">
        <v>38</v>
      </c>
      <c r="J701" s="7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1">
        <v>45597</v>
      </c>
      <c r="R701" s="1">
        <v>45600</v>
      </c>
      <c r="S701" t="s">
        <v>2923</v>
      </c>
    </row>
    <row r="702" spans="1:19" x14ac:dyDescent="0.3">
      <c r="A702" s="9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 s="5">
        <v>0.15</v>
      </c>
      <c r="I702" t="s">
        <v>42</v>
      </c>
      <c r="J702" s="7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1">
        <v>45695</v>
      </c>
      <c r="R702" s="1">
        <v>45698</v>
      </c>
      <c r="S702" t="s">
        <v>2922</v>
      </c>
    </row>
    <row r="703" spans="1:19" x14ac:dyDescent="0.3">
      <c r="A703" s="9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 s="5">
        <v>0.15</v>
      </c>
      <c r="I703" t="s">
        <v>37</v>
      </c>
      <c r="J703" s="7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1">
        <v>45620</v>
      </c>
      <c r="R703" s="1">
        <v>45630</v>
      </c>
      <c r="S703" t="s">
        <v>2923</v>
      </c>
    </row>
    <row r="704" spans="1:19" x14ac:dyDescent="0.3">
      <c r="A704" s="9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 s="5">
        <v>0</v>
      </c>
      <c r="I704" t="s">
        <v>39</v>
      </c>
      <c r="J704" s="7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1">
        <v>45405</v>
      </c>
      <c r="R704" s="1">
        <v>45414</v>
      </c>
      <c r="S704" t="s">
        <v>2925</v>
      </c>
    </row>
    <row r="705" spans="1:19" x14ac:dyDescent="0.3">
      <c r="A705" s="9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 s="5">
        <v>0.05</v>
      </c>
      <c r="I705" t="s">
        <v>37</v>
      </c>
      <c r="J705" s="7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1">
        <v>45467</v>
      </c>
      <c r="R705" s="1">
        <v>45470</v>
      </c>
      <c r="S705" t="s">
        <v>2922</v>
      </c>
    </row>
    <row r="706" spans="1:19" x14ac:dyDescent="0.3">
      <c r="A706" s="9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 s="5">
        <v>0.1</v>
      </c>
      <c r="I706" t="s">
        <v>40</v>
      </c>
      <c r="J706" s="7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1">
        <v>45809</v>
      </c>
      <c r="R706" s="1">
        <v>45815</v>
      </c>
      <c r="S706" t="s">
        <v>2926</v>
      </c>
    </row>
    <row r="707" spans="1:19" x14ac:dyDescent="0.3">
      <c r="A707" s="9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 s="5">
        <v>0</v>
      </c>
      <c r="I707" t="s">
        <v>40</v>
      </c>
      <c r="J707" s="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1">
        <v>44997</v>
      </c>
      <c r="R707" s="1">
        <v>44999</v>
      </c>
      <c r="S707" t="s">
        <v>2926</v>
      </c>
    </row>
    <row r="708" spans="1:19" x14ac:dyDescent="0.3">
      <c r="A708" s="9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 s="5">
        <v>0</v>
      </c>
      <c r="I708" t="s">
        <v>41</v>
      </c>
      <c r="J708" s="7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1">
        <v>45607</v>
      </c>
      <c r="R708" s="1">
        <v>45615</v>
      </c>
      <c r="S708" t="s">
        <v>2925</v>
      </c>
    </row>
    <row r="709" spans="1:19" x14ac:dyDescent="0.3">
      <c r="A709" s="9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 s="5">
        <v>0.1</v>
      </c>
      <c r="I709" t="s">
        <v>42</v>
      </c>
      <c r="J709" s="7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1">
        <v>45582</v>
      </c>
      <c r="R709" s="1">
        <v>45591</v>
      </c>
      <c r="S709" t="s">
        <v>2925</v>
      </c>
    </row>
    <row r="710" spans="1:19" x14ac:dyDescent="0.3">
      <c r="A710" s="9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 s="5">
        <v>0.05</v>
      </c>
      <c r="I710" t="s">
        <v>39</v>
      </c>
      <c r="J710" s="7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1">
        <v>45056</v>
      </c>
      <c r="R710" s="1">
        <v>45059</v>
      </c>
      <c r="S710" t="s">
        <v>2922</v>
      </c>
    </row>
    <row r="711" spans="1:19" x14ac:dyDescent="0.3">
      <c r="A711" s="9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 s="5">
        <v>0</v>
      </c>
      <c r="I711" t="s">
        <v>37</v>
      </c>
      <c r="J711" s="7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1">
        <v>45136</v>
      </c>
      <c r="R711" s="1">
        <v>45145</v>
      </c>
      <c r="S711" t="s">
        <v>2922</v>
      </c>
    </row>
    <row r="712" spans="1:19" x14ac:dyDescent="0.3">
      <c r="A712" s="9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 s="5">
        <v>0.15</v>
      </c>
      <c r="I712" t="s">
        <v>41</v>
      </c>
      <c r="J712" s="7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1">
        <v>45164</v>
      </c>
      <c r="R712" s="1">
        <v>45167</v>
      </c>
      <c r="S712" t="s">
        <v>2925</v>
      </c>
    </row>
    <row r="713" spans="1:19" x14ac:dyDescent="0.3">
      <c r="A713" s="9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 s="5">
        <v>0.05</v>
      </c>
      <c r="I713" t="s">
        <v>40</v>
      </c>
      <c r="J713" s="7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1">
        <v>45288</v>
      </c>
      <c r="R713" s="1">
        <v>45294</v>
      </c>
      <c r="S713" t="s">
        <v>2922</v>
      </c>
    </row>
    <row r="714" spans="1:19" x14ac:dyDescent="0.3">
      <c r="A714" s="9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 s="5">
        <v>0.15</v>
      </c>
      <c r="I714" t="s">
        <v>42</v>
      </c>
      <c r="J714" s="7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1">
        <v>45726</v>
      </c>
      <c r="R714" s="1">
        <v>45733</v>
      </c>
      <c r="S714" t="s">
        <v>2924</v>
      </c>
    </row>
    <row r="715" spans="1:19" x14ac:dyDescent="0.3">
      <c r="A715" s="9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 s="5">
        <v>0.15</v>
      </c>
      <c r="I715" t="s">
        <v>42</v>
      </c>
      <c r="J715" s="7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1">
        <v>45178</v>
      </c>
      <c r="R715" s="1">
        <v>45183</v>
      </c>
      <c r="S715" t="s">
        <v>2925</v>
      </c>
    </row>
    <row r="716" spans="1:19" x14ac:dyDescent="0.3">
      <c r="A716" s="9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 s="5">
        <v>0.1</v>
      </c>
      <c r="I716" t="s">
        <v>41</v>
      </c>
      <c r="J716" s="7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1">
        <v>45074</v>
      </c>
      <c r="R716" s="1">
        <v>45078</v>
      </c>
      <c r="S716" t="s">
        <v>2924</v>
      </c>
    </row>
    <row r="717" spans="1:19" x14ac:dyDescent="0.3">
      <c r="A717" s="9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 s="5">
        <v>0.15</v>
      </c>
      <c r="I717" t="s">
        <v>41</v>
      </c>
      <c r="J717" s="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1">
        <v>45798</v>
      </c>
      <c r="R717" s="1">
        <v>45808</v>
      </c>
      <c r="S717" t="s">
        <v>2926</v>
      </c>
    </row>
    <row r="718" spans="1:19" x14ac:dyDescent="0.3">
      <c r="A718" s="9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 s="5">
        <v>0.05</v>
      </c>
      <c r="I718" t="s">
        <v>41</v>
      </c>
      <c r="J718" s="7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1">
        <v>45199</v>
      </c>
      <c r="R718" s="1">
        <v>45203</v>
      </c>
      <c r="S718" t="s">
        <v>2922</v>
      </c>
    </row>
    <row r="719" spans="1:19" x14ac:dyDescent="0.3">
      <c r="A719" s="9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 s="5">
        <v>0.1</v>
      </c>
      <c r="I719" t="s">
        <v>41</v>
      </c>
      <c r="J719" s="7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1">
        <v>45573</v>
      </c>
      <c r="R719" s="1">
        <v>45578</v>
      </c>
      <c r="S719" t="s">
        <v>2923</v>
      </c>
    </row>
    <row r="720" spans="1:19" x14ac:dyDescent="0.3">
      <c r="A720" s="9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 s="5">
        <v>0</v>
      </c>
      <c r="I720" t="s">
        <v>40</v>
      </c>
      <c r="J720" s="7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1">
        <v>45030</v>
      </c>
      <c r="R720" s="1">
        <v>45039</v>
      </c>
      <c r="S720" t="s">
        <v>2922</v>
      </c>
    </row>
    <row r="721" spans="1:19" x14ac:dyDescent="0.3">
      <c r="A721" s="9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 s="5">
        <v>0.1</v>
      </c>
      <c r="I721" t="s">
        <v>42</v>
      </c>
      <c r="J721" s="7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1">
        <v>44990</v>
      </c>
      <c r="R721" s="1">
        <v>44995</v>
      </c>
      <c r="S721" t="s">
        <v>2923</v>
      </c>
    </row>
    <row r="722" spans="1:19" x14ac:dyDescent="0.3">
      <c r="A722" s="9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 s="5">
        <v>0.05</v>
      </c>
      <c r="I722" t="s">
        <v>39</v>
      </c>
      <c r="J722" s="7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1">
        <v>45490</v>
      </c>
      <c r="R722" s="1">
        <v>45493</v>
      </c>
      <c r="S722" t="s">
        <v>2924</v>
      </c>
    </row>
    <row r="723" spans="1:19" x14ac:dyDescent="0.3">
      <c r="A723" s="9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 s="5">
        <v>0.1</v>
      </c>
      <c r="I723" t="s">
        <v>40</v>
      </c>
      <c r="J723" s="7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1">
        <v>45432</v>
      </c>
      <c r="R723" s="1">
        <v>45441</v>
      </c>
      <c r="S723" t="s">
        <v>2924</v>
      </c>
    </row>
    <row r="724" spans="1:19" x14ac:dyDescent="0.3">
      <c r="A724" s="9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 s="5">
        <v>0.1</v>
      </c>
      <c r="I724" t="s">
        <v>42</v>
      </c>
      <c r="J724" s="7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1">
        <v>45783</v>
      </c>
      <c r="R724" s="1">
        <v>45787</v>
      </c>
      <c r="S724" t="s">
        <v>2924</v>
      </c>
    </row>
    <row r="725" spans="1:19" x14ac:dyDescent="0.3">
      <c r="A725" s="9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 s="5">
        <v>0</v>
      </c>
      <c r="I725" t="s">
        <v>38</v>
      </c>
      <c r="J725" s="7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1">
        <v>44941</v>
      </c>
      <c r="R725" s="1">
        <v>44943</v>
      </c>
      <c r="S725" t="s">
        <v>2924</v>
      </c>
    </row>
    <row r="726" spans="1:19" x14ac:dyDescent="0.3">
      <c r="A726" s="9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 s="5">
        <v>0.1</v>
      </c>
      <c r="I726" t="s">
        <v>41</v>
      </c>
      <c r="J726" s="7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1">
        <v>45300</v>
      </c>
      <c r="R726" s="1">
        <v>45303</v>
      </c>
      <c r="S726" t="s">
        <v>2925</v>
      </c>
    </row>
    <row r="727" spans="1:19" x14ac:dyDescent="0.3">
      <c r="A727" s="9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 s="5">
        <v>0.15</v>
      </c>
      <c r="I727" t="s">
        <v>40</v>
      </c>
      <c r="J727" s="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1">
        <v>45119</v>
      </c>
      <c r="R727" s="1">
        <v>45128</v>
      </c>
      <c r="S727" t="s">
        <v>2923</v>
      </c>
    </row>
    <row r="728" spans="1:19" x14ac:dyDescent="0.3">
      <c r="A728" s="9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 s="5">
        <v>0.05</v>
      </c>
      <c r="I728" t="s">
        <v>37</v>
      </c>
      <c r="J728" s="7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1">
        <v>45829</v>
      </c>
      <c r="R728" s="1">
        <v>45834</v>
      </c>
      <c r="S728" t="s">
        <v>2922</v>
      </c>
    </row>
    <row r="729" spans="1:19" x14ac:dyDescent="0.3">
      <c r="A729" s="9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 s="5">
        <v>0.1</v>
      </c>
      <c r="I729" t="s">
        <v>39</v>
      </c>
      <c r="J729" s="7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1">
        <v>45655</v>
      </c>
      <c r="R729" s="1">
        <v>45659</v>
      </c>
      <c r="S729" t="s">
        <v>2924</v>
      </c>
    </row>
    <row r="730" spans="1:19" x14ac:dyDescent="0.3">
      <c r="A730" s="9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 s="5">
        <v>0.05</v>
      </c>
      <c r="I730" t="s">
        <v>42</v>
      </c>
      <c r="J730" s="7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1">
        <v>45069</v>
      </c>
      <c r="R730" s="1">
        <v>45075</v>
      </c>
      <c r="S730" t="s">
        <v>2926</v>
      </c>
    </row>
    <row r="731" spans="1:19" x14ac:dyDescent="0.3">
      <c r="A731" s="9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 s="5">
        <v>0.1</v>
      </c>
      <c r="I731" t="s">
        <v>40</v>
      </c>
      <c r="J731" s="7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1">
        <v>45385</v>
      </c>
      <c r="R731" s="1">
        <v>45391</v>
      </c>
      <c r="S731" t="s">
        <v>2925</v>
      </c>
    </row>
    <row r="732" spans="1:19" x14ac:dyDescent="0.3">
      <c r="A732" s="9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 s="5">
        <v>0.1</v>
      </c>
      <c r="I732" t="s">
        <v>41</v>
      </c>
      <c r="J732" s="7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1">
        <v>45308</v>
      </c>
      <c r="R732" s="1">
        <v>45318</v>
      </c>
      <c r="S732" t="s">
        <v>2922</v>
      </c>
    </row>
    <row r="733" spans="1:19" x14ac:dyDescent="0.3">
      <c r="A733" s="9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 s="5">
        <v>0.1</v>
      </c>
      <c r="I733" t="s">
        <v>38</v>
      </c>
      <c r="J733" s="7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1">
        <v>45752</v>
      </c>
      <c r="R733" s="1">
        <v>45761</v>
      </c>
      <c r="S733" t="s">
        <v>2925</v>
      </c>
    </row>
    <row r="734" spans="1:19" x14ac:dyDescent="0.3">
      <c r="A734" s="9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 s="5">
        <v>0.15</v>
      </c>
      <c r="I734" t="s">
        <v>42</v>
      </c>
      <c r="J734" s="7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1">
        <v>45764</v>
      </c>
      <c r="R734" s="1">
        <v>45770</v>
      </c>
      <c r="S734" t="s">
        <v>2925</v>
      </c>
    </row>
    <row r="735" spans="1:19" x14ac:dyDescent="0.3">
      <c r="A735" s="9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 s="5">
        <v>0.05</v>
      </c>
      <c r="I735" t="s">
        <v>40</v>
      </c>
      <c r="J735" s="7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1">
        <v>45577</v>
      </c>
      <c r="R735" s="1">
        <v>45580</v>
      </c>
      <c r="S735" t="s">
        <v>2925</v>
      </c>
    </row>
    <row r="736" spans="1:19" x14ac:dyDescent="0.3">
      <c r="A736" s="9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 s="5">
        <v>0.1</v>
      </c>
      <c r="I736" t="s">
        <v>37</v>
      </c>
      <c r="J736" s="7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1">
        <v>45500</v>
      </c>
      <c r="R736" s="1">
        <v>45505</v>
      </c>
      <c r="S736" t="s">
        <v>2925</v>
      </c>
    </row>
    <row r="737" spans="1:19" x14ac:dyDescent="0.3">
      <c r="A737" s="9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 s="5">
        <v>0.15</v>
      </c>
      <c r="I737" t="s">
        <v>41</v>
      </c>
      <c r="J737" s="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1">
        <v>45667</v>
      </c>
      <c r="R737" s="1">
        <v>45675</v>
      </c>
      <c r="S737" t="s">
        <v>2926</v>
      </c>
    </row>
    <row r="738" spans="1:19" x14ac:dyDescent="0.3">
      <c r="A738" s="9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 s="5">
        <v>0.05</v>
      </c>
      <c r="I738" t="s">
        <v>38</v>
      </c>
      <c r="J738" s="7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1">
        <v>45498</v>
      </c>
      <c r="R738" s="1">
        <v>45504</v>
      </c>
      <c r="S738" t="s">
        <v>2923</v>
      </c>
    </row>
    <row r="739" spans="1:19" x14ac:dyDescent="0.3">
      <c r="A739" s="9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 s="5">
        <v>0.1</v>
      </c>
      <c r="I739" t="s">
        <v>41</v>
      </c>
      <c r="J739" s="7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1">
        <v>45434</v>
      </c>
      <c r="R739" s="1">
        <v>45437</v>
      </c>
      <c r="S739" t="s">
        <v>2926</v>
      </c>
    </row>
    <row r="740" spans="1:19" x14ac:dyDescent="0.3">
      <c r="A740" s="9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 s="5">
        <v>0.05</v>
      </c>
      <c r="I740" t="s">
        <v>40</v>
      </c>
      <c r="J740" s="7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1">
        <v>45514</v>
      </c>
      <c r="R740" s="1">
        <v>45524</v>
      </c>
      <c r="S740" t="s">
        <v>2925</v>
      </c>
    </row>
    <row r="741" spans="1:19" x14ac:dyDescent="0.3">
      <c r="A741" s="9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 s="5">
        <v>0.05</v>
      </c>
      <c r="I741" t="s">
        <v>38</v>
      </c>
      <c r="J741" s="7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1">
        <v>45043</v>
      </c>
      <c r="R741" s="1">
        <v>45045</v>
      </c>
      <c r="S741" t="s">
        <v>2926</v>
      </c>
    </row>
    <row r="742" spans="1:19" x14ac:dyDescent="0.3">
      <c r="A742" s="9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 s="5">
        <v>0.05</v>
      </c>
      <c r="I742" t="s">
        <v>39</v>
      </c>
      <c r="J742" s="7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1">
        <v>45098</v>
      </c>
      <c r="R742" s="1">
        <v>45102</v>
      </c>
      <c r="S742" t="s">
        <v>2923</v>
      </c>
    </row>
    <row r="743" spans="1:19" x14ac:dyDescent="0.3">
      <c r="A743" s="9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 s="5">
        <v>0.05</v>
      </c>
      <c r="I743" t="s">
        <v>38</v>
      </c>
      <c r="J743" s="7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1">
        <v>45576</v>
      </c>
      <c r="R743" s="1">
        <v>45579</v>
      </c>
      <c r="S743" t="s">
        <v>2926</v>
      </c>
    </row>
    <row r="744" spans="1:19" x14ac:dyDescent="0.3">
      <c r="A744" s="9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 s="5">
        <v>0.05</v>
      </c>
      <c r="I744" t="s">
        <v>40</v>
      </c>
      <c r="J744" s="7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1">
        <v>45683</v>
      </c>
      <c r="R744" s="1">
        <v>45687</v>
      </c>
      <c r="S744" t="s">
        <v>2924</v>
      </c>
    </row>
    <row r="745" spans="1:19" x14ac:dyDescent="0.3">
      <c r="A745" s="9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 s="5">
        <v>0.1</v>
      </c>
      <c r="I745" t="s">
        <v>41</v>
      </c>
      <c r="J745" s="7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1">
        <v>45461</v>
      </c>
      <c r="R745" s="1">
        <v>45469</v>
      </c>
      <c r="S745" t="s">
        <v>2923</v>
      </c>
    </row>
    <row r="746" spans="1:19" x14ac:dyDescent="0.3">
      <c r="A746" s="9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 s="5">
        <v>0</v>
      </c>
      <c r="I746" t="s">
        <v>38</v>
      </c>
      <c r="J746" s="7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1">
        <v>45826</v>
      </c>
      <c r="R746" s="1">
        <v>45832</v>
      </c>
      <c r="S746" t="s">
        <v>2922</v>
      </c>
    </row>
    <row r="747" spans="1:19" x14ac:dyDescent="0.3">
      <c r="A747" s="9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 s="5">
        <v>0.05</v>
      </c>
      <c r="I747" t="s">
        <v>39</v>
      </c>
      <c r="J747" s="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1">
        <v>45594</v>
      </c>
      <c r="R747" s="1">
        <v>45603</v>
      </c>
      <c r="S747" t="s">
        <v>2923</v>
      </c>
    </row>
    <row r="748" spans="1:19" x14ac:dyDescent="0.3">
      <c r="A748" s="9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 s="5">
        <v>0</v>
      </c>
      <c r="I748" t="s">
        <v>38</v>
      </c>
      <c r="J748" s="7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1">
        <v>45755</v>
      </c>
      <c r="R748" s="1">
        <v>45761</v>
      </c>
      <c r="S748" t="s">
        <v>2925</v>
      </c>
    </row>
    <row r="749" spans="1:19" x14ac:dyDescent="0.3">
      <c r="A749" s="9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 s="5">
        <v>0.05</v>
      </c>
      <c r="I749" t="s">
        <v>39</v>
      </c>
      <c r="J749" s="7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1">
        <v>44957</v>
      </c>
      <c r="R749" s="1">
        <v>44962</v>
      </c>
      <c r="S749" t="s">
        <v>2925</v>
      </c>
    </row>
    <row r="750" spans="1:19" x14ac:dyDescent="0.3">
      <c r="A750" s="9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 s="5">
        <v>0.1</v>
      </c>
      <c r="I750" t="s">
        <v>37</v>
      </c>
      <c r="J750" s="7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1">
        <v>45366</v>
      </c>
      <c r="R750" s="1">
        <v>45371</v>
      </c>
      <c r="S750" t="s">
        <v>2926</v>
      </c>
    </row>
    <row r="751" spans="1:19" x14ac:dyDescent="0.3">
      <c r="A751" s="9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 s="5">
        <v>0.05</v>
      </c>
      <c r="I751" t="s">
        <v>39</v>
      </c>
      <c r="J751" s="7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1">
        <v>45100</v>
      </c>
      <c r="R751" s="1">
        <v>45104</v>
      </c>
      <c r="S751" t="s">
        <v>2924</v>
      </c>
    </row>
    <row r="752" spans="1:19" x14ac:dyDescent="0.3">
      <c r="A752" s="9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 s="5">
        <v>0.15</v>
      </c>
      <c r="I752" t="s">
        <v>37</v>
      </c>
      <c r="J752" s="7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1">
        <v>45457</v>
      </c>
      <c r="R752" s="1">
        <v>45466</v>
      </c>
      <c r="S752" t="s">
        <v>2924</v>
      </c>
    </row>
    <row r="753" spans="1:19" x14ac:dyDescent="0.3">
      <c r="A753" s="9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 s="5">
        <v>0</v>
      </c>
      <c r="I753" t="s">
        <v>38</v>
      </c>
      <c r="J753" s="7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1">
        <v>45260</v>
      </c>
      <c r="R753" s="1">
        <v>45269</v>
      </c>
      <c r="S753" t="s">
        <v>2926</v>
      </c>
    </row>
    <row r="754" spans="1:19" x14ac:dyDescent="0.3">
      <c r="A754" s="9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 s="5">
        <v>0.05</v>
      </c>
      <c r="I754" t="s">
        <v>40</v>
      </c>
      <c r="J754" s="7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1">
        <v>45403</v>
      </c>
      <c r="R754" s="1">
        <v>45412</v>
      </c>
      <c r="S754" t="s">
        <v>2924</v>
      </c>
    </row>
    <row r="755" spans="1:19" x14ac:dyDescent="0.3">
      <c r="A755" s="9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 s="5">
        <v>0.05</v>
      </c>
      <c r="I755" t="s">
        <v>38</v>
      </c>
      <c r="J755" s="7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1">
        <v>45144</v>
      </c>
      <c r="R755" s="1">
        <v>45150</v>
      </c>
      <c r="S755" t="s">
        <v>2922</v>
      </c>
    </row>
    <row r="756" spans="1:19" x14ac:dyDescent="0.3">
      <c r="A756" s="9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 s="5">
        <v>0.15</v>
      </c>
      <c r="I756" t="s">
        <v>40</v>
      </c>
      <c r="J756" s="7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1">
        <v>45464</v>
      </c>
      <c r="R756" s="1">
        <v>45470</v>
      </c>
      <c r="S756" t="s">
        <v>2926</v>
      </c>
    </row>
    <row r="757" spans="1:19" x14ac:dyDescent="0.3">
      <c r="A757" s="9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 s="5">
        <v>0.1</v>
      </c>
      <c r="I757" t="s">
        <v>42</v>
      </c>
      <c r="J757" s="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1">
        <v>45732</v>
      </c>
      <c r="R757" s="1">
        <v>45740</v>
      </c>
      <c r="S757" t="s">
        <v>2924</v>
      </c>
    </row>
    <row r="758" spans="1:19" x14ac:dyDescent="0.3">
      <c r="A758" s="9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 s="5">
        <v>0.15</v>
      </c>
      <c r="I758" t="s">
        <v>39</v>
      </c>
      <c r="J758" s="7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1">
        <v>45402</v>
      </c>
      <c r="R758" s="1">
        <v>45407</v>
      </c>
      <c r="S758" t="s">
        <v>2926</v>
      </c>
    </row>
    <row r="759" spans="1:19" x14ac:dyDescent="0.3">
      <c r="A759" s="9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 s="5">
        <v>0.1</v>
      </c>
      <c r="I759" t="s">
        <v>39</v>
      </c>
      <c r="J759" s="7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1">
        <v>45646</v>
      </c>
      <c r="R759" s="1">
        <v>45655</v>
      </c>
      <c r="S759" t="s">
        <v>2922</v>
      </c>
    </row>
    <row r="760" spans="1:19" x14ac:dyDescent="0.3">
      <c r="A760" s="9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 s="5">
        <v>0</v>
      </c>
      <c r="I760" t="s">
        <v>39</v>
      </c>
      <c r="J760" s="7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1">
        <v>45160</v>
      </c>
      <c r="R760" s="1">
        <v>45170</v>
      </c>
      <c r="S760" t="s">
        <v>2924</v>
      </c>
    </row>
    <row r="761" spans="1:19" x14ac:dyDescent="0.3">
      <c r="A761" s="9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 s="5">
        <v>0.15</v>
      </c>
      <c r="I761" t="s">
        <v>41</v>
      </c>
      <c r="J761" s="7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1">
        <v>44989</v>
      </c>
      <c r="R761" s="1">
        <v>44998</v>
      </c>
      <c r="S761" t="s">
        <v>2924</v>
      </c>
    </row>
    <row r="762" spans="1:19" x14ac:dyDescent="0.3">
      <c r="A762" s="9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 s="5">
        <v>0.1</v>
      </c>
      <c r="I762" t="s">
        <v>37</v>
      </c>
      <c r="J762" s="7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1">
        <v>45467</v>
      </c>
      <c r="R762" s="1">
        <v>45474</v>
      </c>
      <c r="S762" t="s">
        <v>2924</v>
      </c>
    </row>
    <row r="763" spans="1:19" x14ac:dyDescent="0.3">
      <c r="A763" s="9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 s="5">
        <v>0</v>
      </c>
      <c r="I763" t="s">
        <v>41</v>
      </c>
      <c r="J763" s="7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1">
        <v>45635</v>
      </c>
      <c r="R763" s="1">
        <v>45639</v>
      </c>
      <c r="S763" t="s">
        <v>2922</v>
      </c>
    </row>
    <row r="764" spans="1:19" x14ac:dyDescent="0.3">
      <c r="A764" s="9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 s="5">
        <v>0.05</v>
      </c>
      <c r="I764" t="s">
        <v>41</v>
      </c>
      <c r="J764" s="7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1">
        <v>45477</v>
      </c>
      <c r="R764" s="1">
        <v>45480</v>
      </c>
      <c r="S764" t="s">
        <v>2926</v>
      </c>
    </row>
    <row r="765" spans="1:19" x14ac:dyDescent="0.3">
      <c r="A765" s="9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 s="5">
        <v>0.15</v>
      </c>
      <c r="I765" t="s">
        <v>39</v>
      </c>
      <c r="J765" s="7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1">
        <v>45720</v>
      </c>
      <c r="R765" s="1">
        <v>45722</v>
      </c>
      <c r="S765" t="s">
        <v>2922</v>
      </c>
    </row>
    <row r="766" spans="1:19" x14ac:dyDescent="0.3">
      <c r="A766" s="9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 s="5">
        <v>0.05</v>
      </c>
      <c r="I766" t="s">
        <v>39</v>
      </c>
      <c r="J766" s="7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1">
        <v>45313</v>
      </c>
      <c r="R766" s="1">
        <v>45320</v>
      </c>
      <c r="S766" t="s">
        <v>2922</v>
      </c>
    </row>
    <row r="767" spans="1:19" x14ac:dyDescent="0.3">
      <c r="A767" s="9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 s="5">
        <v>0.05</v>
      </c>
      <c r="I767" t="s">
        <v>41</v>
      </c>
      <c r="J767" s="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1">
        <v>45728</v>
      </c>
      <c r="R767" s="1">
        <v>45737</v>
      </c>
      <c r="S767" t="s">
        <v>2922</v>
      </c>
    </row>
    <row r="768" spans="1:19" x14ac:dyDescent="0.3">
      <c r="A768" s="9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 s="5">
        <v>0.05</v>
      </c>
      <c r="I768" t="s">
        <v>40</v>
      </c>
      <c r="J768" s="7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1">
        <v>45716</v>
      </c>
      <c r="R768" s="1">
        <v>45719</v>
      </c>
      <c r="S768" t="s">
        <v>2925</v>
      </c>
    </row>
    <row r="769" spans="1:19" x14ac:dyDescent="0.3">
      <c r="A769" s="9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 s="5">
        <v>0.05</v>
      </c>
      <c r="I769" t="s">
        <v>42</v>
      </c>
      <c r="J769" s="7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1">
        <v>45435</v>
      </c>
      <c r="R769" s="1">
        <v>45443</v>
      </c>
      <c r="S769" t="s">
        <v>2922</v>
      </c>
    </row>
    <row r="770" spans="1:19" x14ac:dyDescent="0.3">
      <c r="A770" s="9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 s="5">
        <v>0.05</v>
      </c>
      <c r="I770" t="s">
        <v>41</v>
      </c>
      <c r="J770" s="7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1">
        <v>45186</v>
      </c>
      <c r="R770" s="1">
        <v>45189</v>
      </c>
      <c r="S770" t="s">
        <v>2924</v>
      </c>
    </row>
    <row r="771" spans="1:19" x14ac:dyDescent="0.3">
      <c r="A771" s="9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 s="5">
        <v>0.1</v>
      </c>
      <c r="I771" t="s">
        <v>40</v>
      </c>
      <c r="J771" s="7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1">
        <v>45090</v>
      </c>
      <c r="R771" s="1">
        <v>45095</v>
      </c>
      <c r="S771" t="s">
        <v>2922</v>
      </c>
    </row>
    <row r="772" spans="1:19" x14ac:dyDescent="0.3">
      <c r="A772" s="9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 s="5">
        <v>0</v>
      </c>
      <c r="I772" t="s">
        <v>42</v>
      </c>
      <c r="J772" s="7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1">
        <v>45808</v>
      </c>
      <c r="R772" s="1">
        <v>45810</v>
      </c>
      <c r="S772" t="s">
        <v>2926</v>
      </c>
    </row>
    <row r="773" spans="1:19" x14ac:dyDescent="0.3">
      <c r="A773" s="9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 s="5">
        <v>0.15</v>
      </c>
      <c r="I773" t="s">
        <v>38</v>
      </c>
      <c r="J773" s="7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1">
        <v>45210</v>
      </c>
      <c r="R773" s="1">
        <v>45213</v>
      </c>
      <c r="S773" t="s">
        <v>2922</v>
      </c>
    </row>
    <row r="774" spans="1:19" x14ac:dyDescent="0.3">
      <c r="A774" s="9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 s="5">
        <v>0</v>
      </c>
      <c r="I774" t="s">
        <v>37</v>
      </c>
      <c r="J774" s="7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1">
        <v>45145</v>
      </c>
      <c r="R774" s="1">
        <v>45152</v>
      </c>
      <c r="S774" t="s">
        <v>2926</v>
      </c>
    </row>
    <row r="775" spans="1:19" x14ac:dyDescent="0.3">
      <c r="A775" s="9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 s="5">
        <v>0.05</v>
      </c>
      <c r="I775" t="s">
        <v>40</v>
      </c>
      <c r="J775" s="7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1">
        <v>45263</v>
      </c>
      <c r="R775" s="1">
        <v>45265</v>
      </c>
      <c r="S775" t="s">
        <v>2924</v>
      </c>
    </row>
    <row r="776" spans="1:19" x14ac:dyDescent="0.3">
      <c r="A776" s="9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 s="5">
        <v>0.1</v>
      </c>
      <c r="I776" t="s">
        <v>39</v>
      </c>
      <c r="J776" s="7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1">
        <v>45505</v>
      </c>
      <c r="R776" s="1">
        <v>45508</v>
      </c>
      <c r="S776" t="s">
        <v>2925</v>
      </c>
    </row>
    <row r="777" spans="1:19" x14ac:dyDescent="0.3">
      <c r="A777" s="9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 s="5">
        <v>0</v>
      </c>
      <c r="I777" t="s">
        <v>37</v>
      </c>
      <c r="J777" s="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1">
        <v>45005</v>
      </c>
      <c r="R777" s="1">
        <v>45012</v>
      </c>
      <c r="S777" t="s">
        <v>2922</v>
      </c>
    </row>
    <row r="778" spans="1:19" x14ac:dyDescent="0.3">
      <c r="A778" s="9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 s="5">
        <v>0.05</v>
      </c>
      <c r="I778" t="s">
        <v>37</v>
      </c>
      <c r="J778" s="7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1">
        <v>45838</v>
      </c>
      <c r="R778" s="1">
        <v>45842</v>
      </c>
      <c r="S778" t="s">
        <v>2925</v>
      </c>
    </row>
    <row r="779" spans="1:19" x14ac:dyDescent="0.3">
      <c r="A779" s="9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 s="5">
        <v>0</v>
      </c>
      <c r="I779" t="s">
        <v>39</v>
      </c>
      <c r="J779" s="7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1">
        <v>45693</v>
      </c>
      <c r="R779" s="1">
        <v>45695</v>
      </c>
      <c r="S779" t="s">
        <v>2923</v>
      </c>
    </row>
    <row r="780" spans="1:19" x14ac:dyDescent="0.3">
      <c r="A780" s="9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 s="5">
        <v>0.15</v>
      </c>
      <c r="I780" t="s">
        <v>39</v>
      </c>
      <c r="J780" s="7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1">
        <v>45431</v>
      </c>
      <c r="R780" s="1">
        <v>45441</v>
      </c>
      <c r="S780" t="s">
        <v>2922</v>
      </c>
    </row>
    <row r="781" spans="1:19" x14ac:dyDescent="0.3">
      <c r="A781" s="9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 s="5">
        <v>0.1</v>
      </c>
      <c r="I781" t="s">
        <v>42</v>
      </c>
      <c r="J781" s="7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1">
        <v>44989</v>
      </c>
      <c r="R781" s="1">
        <v>44997</v>
      </c>
      <c r="S781" t="s">
        <v>2924</v>
      </c>
    </row>
    <row r="782" spans="1:19" x14ac:dyDescent="0.3">
      <c r="A782" s="9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 s="5">
        <v>0.1</v>
      </c>
      <c r="I782" t="s">
        <v>38</v>
      </c>
      <c r="J782" s="7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1">
        <v>44948</v>
      </c>
      <c r="R782" s="1">
        <v>44950</v>
      </c>
      <c r="S782" t="s">
        <v>2925</v>
      </c>
    </row>
    <row r="783" spans="1:19" x14ac:dyDescent="0.3">
      <c r="A783" s="9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 s="5">
        <v>0.15</v>
      </c>
      <c r="I783" t="s">
        <v>40</v>
      </c>
      <c r="J783" s="7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1">
        <v>45005</v>
      </c>
      <c r="R783" s="1">
        <v>45010</v>
      </c>
      <c r="S783" t="s">
        <v>2923</v>
      </c>
    </row>
    <row r="784" spans="1:19" x14ac:dyDescent="0.3">
      <c r="A784" s="9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 s="5">
        <v>0.05</v>
      </c>
      <c r="I784" t="s">
        <v>38</v>
      </c>
      <c r="J784" s="7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1">
        <v>45448</v>
      </c>
      <c r="R784" s="1">
        <v>45456</v>
      </c>
      <c r="S784" t="s">
        <v>2926</v>
      </c>
    </row>
    <row r="785" spans="1:19" x14ac:dyDescent="0.3">
      <c r="A785" s="9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 s="5">
        <v>0.15</v>
      </c>
      <c r="I785" t="s">
        <v>40</v>
      </c>
      <c r="J785" s="7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1">
        <v>45482</v>
      </c>
      <c r="R785" s="1">
        <v>45490</v>
      </c>
      <c r="S785" t="s">
        <v>2922</v>
      </c>
    </row>
    <row r="786" spans="1:19" x14ac:dyDescent="0.3">
      <c r="A786" s="9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 s="5">
        <v>0</v>
      </c>
      <c r="I786" t="s">
        <v>42</v>
      </c>
      <c r="J786" s="7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1">
        <v>45724</v>
      </c>
      <c r="R786" s="1">
        <v>45729</v>
      </c>
      <c r="S786" t="s">
        <v>2923</v>
      </c>
    </row>
    <row r="787" spans="1:19" x14ac:dyDescent="0.3">
      <c r="A787" s="9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 s="5">
        <v>0.15</v>
      </c>
      <c r="I787" t="s">
        <v>41</v>
      </c>
      <c r="J787" s="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1">
        <v>45829</v>
      </c>
      <c r="R787" s="1">
        <v>45838</v>
      </c>
      <c r="S787" t="s">
        <v>2923</v>
      </c>
    </row>
    <row r="788" spans="1:19" x14ac:dyDescent="0.3">
      <c r="A788" s="9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 s="5">
        <v>0.15</v>
      </c>
      <c r="I788" t="s">
        <v>38</v>
      </c>
      <c r="J788" s="7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1">
        <v>45836</v>
      </c>
      <c r="R788" s="1">
        <v>45839</v>
      </c>
      <c r="S788" t="s">
        <v>2924</v>
      </c>
    </row>
    <row r="789" spans="1:19" x14ac:dyDescent="0.3">
      <c r="A789" s="9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 s="5">
        <v>0.15</v>
      </c>
      <c r="I789" t="s">
        <v>42</v>
      </c>
      <c r="J789" s="7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1">
        <v>45752</v>
      </c>
      <c r="R789" s="1">
        <v>45760</v>
      </c>
      <c r="S789" t="s">
        <v>2926</v>
      </c>
    </row>
    <row r="790" spans="1:19" x14ac:dyDescent="0.3">
      <c r="A790" s="9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 s="5">
        <v>0</v>
      </c>
      <c r="I790" t="s">
        <v>40</v>
      </c>
      <c r="J790" s="7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1">
        <v>45356</v>
      </c>
      <c r="R790" s="1">
        <v>45363</v>
      </c>
      <c r="S790" t="s">
        <v>2923</v>
      </c>
    </row>
    <row r="791" spans="1:19" x14ac:dyDescent="0.3">
      <c r="A791" s="9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 s="5">
        <v>0</v>
      </c>
      <c r="I791" t="s">
        <v>40</v>
      </c>
      <c r="J791" s="7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1">
        <v>45360</v>
      </c>
      <c r="R791" s="1">
        <v>45362</v>
      </c>
      <c r="S791" t="s">
        <v>2922</v>
      </c>
    </row>
    <row r="792" spans="1:19" x14ac:dyDescent="0.3">
      <c r="A792" s="9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 s="5">
        <v>0.05</v>
      </c>
      <c r="I792" t="s">
        <v>40</v>
      </c>
      <c r="J792" s="7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1">
        <v>45713</v>
      </c>
      <c r="R792" s="1">
        <v>45716</v>
      </c>
      <c r="S792" t="s">
        <v>2925</v>
      </c>
    </row>
    <row r="793" spans="1:19" x14ac:dyDescent="0.3">
      <c r="A793" s="9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 s="5">
        <v>0.05</v>
      </c>
      <c r="I793" t="s">
        <v>39</v>
      </c>
      <c r="J793" s="7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1">
        <v>45612</v>
      </c>
      <c r="R793" s="1">
        <v>45619</v>
      </c>
      <c r="S793" t="s">
        <v>2926</v>
      </c>
    </row>
    <row r="794" spans="1:19" x14ac:dyDescent="0.3">
      <c r="A794" s="9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 s="5">
        <v>0.05</v>
      </c>
      <c r="I794" t="s">
        <v>40</v>
      </c>
      <c r="J794" s="7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1">
        <v>45505</v>
      </c>
      <c r="R794" s="1">
        <v>45510</v>
      </c>
      <c r="S794" t="s">
        <v>2923</v>
      </c>
    </row>
    <row r="795" spans="1:19" x14ac:dyDescent="0.3">
      <c r="A795" s="9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 s="5">
        <v>0.05</v>
      </c>
      <c r="I795" t="s">
        <v>38</v>
      </c>
      <c r="J795" s="7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1">
        <v>45402</v>
      </c>
      <c r="R795" s="1">
        <v>45412</v>
      </c>
      <c r="S795" t="s">
        <v>2926</v>
      </c>
    </row>
    <row r="796" spans="1:19" x14ac:dyDescent="0.3">
      <c r="A796" s="9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 s="5">
        <v>0.1</v>
      </c>
      <c r="I796" t="s">
        <v>38</v>
      </c>
      <c r="J796" s="7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1">
        <v>45402</v>
      </c>
      <c r="R796" s="1">
        <v>45407</v>
      </c>
      <c r="S796" t="s">
        <v>2923</v>
      </c>
    </row>
    <row r="797" spans="1:19" x14ac:dyDescent="0.3">
      <c r="A797" s="9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 s="5">
        <v>0.15</v>
      </c>
      <c r="I797" t="s">
        <v>41</v>
      </c>
      <c r="J797" s="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1">
        <v>45191</v>
      </c>
      <c r="R797" s="1">
        <v>45197</v>
      </c>
      <c r="S797" t="s">
        <v>2924</v>
      </c>
    </row>
    <row r="798" spans="1:19" x14ac:dyDescent="0.3">
      <c r="A798" s="9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 s="5">
        <v>0.1</v>
      </c>
      <c r="I798" t="s">
        <v>41</v>
      </c>
      <c r="J798" s="7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1">
        <v>45709</v>
      </c>
      <c r="R798" s="1">
        <v>45718</v>
      </c>
      <c r="S798" t="s">
        <v>2926</v>
      </c>
    </row>
    <row r="799" spans="1:19" x14ac:dyDescent="0.3">
      <c r="A799" s="9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 s="5">
        <v>0.15</v>
      </c>
      <c r="I799" t="s">
        <v>41</v>
      </c>
      <c r="J799" s="7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1">
        <v>45832</v>
      </c>
      <c r="R799" s="1">
        <v>45839</v>
      </c>
      <c r="S799" t="s">
        <v>2922</v>
      </c>
    </row>
    <row r="800" spans="1:19" x14ac:dyDescent="0.3">
      <c r="A800" s="9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 s="5">
        <v>0.15</v>
      </c>
      <c r="I800" t="s">
        <v>41</v>
      </c>
      <c r="J800" s="7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1">
        <v>45258</v>
      </c>
      <c r="R800" s="1">
        <v>45265</v>
      </c>
      <c r="S800" t="s">
        <v>2925</v>
      </c>
    </row>
    <row r="801" spans="1:19" x14ac:dyDescent="0.3">
      <c r="A801" s="9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 s="5">
        <v>0.05</v>
      </c>
      <c r="I801" t="s">
        <v>37</v>
      </c>
      <c r="J801" s="7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1">
        <v>45390</v>
      </c>
      <c r="R801" s="1">
        <v>45399</v>
      </c>
      <c r="S801" t="s">
        <v>2924</v>
      </c>
    </row>
    <row r="802" spans="1:19" x14ac:dyDescent="0.3">
      <c r="A802" s="9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 s="5">
        <v>0.05</v>
      </c>
      <c r="I802" t="s">
        <v>40</v>
      </c>
      <c r="J802" s="7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1">
        <v>45664</v>
      </c>
      <c r="R802" s="1">
        <v>45671</v>
      </c>
      <c r="S802" t="s">
        <v>2924</v>
      </c>
    </row>
    <row r="803" spans="1:19" x14ac:dyDescent="0.3">
      <c r="A803" s="9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 s="5">
        <v>0.1</v>
      </c>
      <c r="I803" t="s">
        <v>40</v>
      </c>
      <c r="J803" s="7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1">
        <v>44981</v>
      </c>
      <c r="R803" s="1">
        <v>44988</v>
      </c>
      <c r="S803" t="s">
        <v>2923</v>
      </c>
    </row>
    <row r="804" spans="1:19" x14ac:dyDescent="0.3">
      <c r="A804" s="9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 s="5">
        <v>0.1</v>
      </c>
      <c r="I804" t="s">
        <v>38</v>
      </c>
      <c r="J804" s="7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1">
        <v>45218</v>
      </c>
      <c r="R804" s="1">
        <v>45225</v>
      </c>
      <c r="S804" t="s">
        <v>2922</v>
      </c>
    </row>
    <row r="805" spans="1:19" x14ac:dyDescent="0.3">
      <c r="A805" s="9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 s="5">
        <v>0.15</v>
      </c>
      <c r="I805" t="s">
        <v>38</v>
      </c>
      <c r="J805" s="7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1">
        <v>45460</v>
      </c>
      <c r="R805" s="1">
        <v>45464</v>
      </c>
      <c r="S805" t="s">
        <v>2924</v>
      </c>
    </row>
    <row r="806" spans="1:19" x14ac:dyDescent="0.3">
      <c r="A806" s="9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 s="5">
        <v>0</v>
      </c>
      <c r="I806" t="s">
        <v>39</v>
      </c>
      <c r="J806" s="7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1">
        <v>45098</v>
      </c>
      <c r="R806" s="1">
        <v>45106</v>
      </c>
      <c r="S806" t="s">
        <v>2925</v>
      </c>
    </row>
    <row r="807" spans="1:19" x14ac:dyDescent="0.3">
      <c r="A807" s="9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 s="5">
        <v>0.15</v>
      </c>
      <c r="I807" t="s">
        <v>41</v>
      </c>
      <c r="J807" s="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1">
        <v>45534</v>
      </c>
      <c r="R807" s="1">
        <v>45537</v>
      </c>
      <c r="S807" t="s">
        <v>2922</v>
      </c>
    </row>
    <row r="808" spans="1:19" x14ac:dyDescent="0.3">
      <c r="A808" s="9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 s="5">
        <v>0</v>
      </c>
      <c r="I808" t="s">
        <v>42</v>
      </c>
      <c r="J808" s="7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1">
        <v>45660</v>
      </c>
      <c r="R808" s="1">
        <v>45670</v>
      </c>
      <c r="S808" t="s">
        <v>2925</v>
      </c>
    </row>
    <row r="809" spans="1:19" x14ac:dyDescent="0.3">
      <c r="A809" s="9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 s="5">
        <v>0</v>
      </c>
      <c r="I809" t="s">
        <v>40</v>
      </c>
      <c r="J809" s="7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1">
        <v>44980</v>
      </c>
      <c r="R809" s="1">
        <v>44987</v>
      </c>
      <c r="S809" t="s">
        <v>2926</v>
      </c>
    </row>
    <row r="810" spans="1:19" x14ac:dyDescent="0.3">
      <c r="A810" s="9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 s="5">
        <v>0.05</v>
      </c>
      <c r="I810" t="s">
        <v>40</v>
      </c>
      <c r="J810" s="7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1">
        <v>45773</v>
      </c>
      <c r="R810" s="1">
        <v>45776</v>
      </c>
      <c r="S810" t="s">
        <v>2925</v>
      </c>
    </row>
    <row r="811" spans="1:19" x14ac:dyDescent="0.3">
      <c r="A811" s="9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 s="5">
        <v>0</v>
      </c>
      <c r="I811" t="s">
        <v>38</v>
      </c>
      <c r="J811" s="7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1">
        <v>45085</v>
      </c>
      <c r="R811" s="1">
        <v>45091</v>
      </c>
      <c r="S811" t="s">
        <v>2923</v>
      </c>
    </row>
    <row r="812" spans="1:19" x14ac:dyDescent="0.3">
      <c r="A812" s="9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 s="5">
        <v>0.1</v>
      </c>
      <c r="I812" t="s">
        <v>37</v>
      </c>
      <c r="J812" s="7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1">
        <v>45001</v>
      </c>
      <c r="R812" s="1">
        <v>45010</v>
      </c>
      <c r="S812" t="s">
        <v>2924</v>
      </c>
    </row>
    <row r="813" spans="1:19" x14ac:dyDescent="0.3">
      <c r="A813" s="9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 s="5">
        <v>0</v>
      </c>
      <c r="I813" t="s">
        <v>40</v>
      </c>
      <c r="J813" s="7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1">
        <v>45588</v>
      </c>
      <c r="R813" s="1">
        <v>45593</v>
      </c>
      <c r="S813" t="s">
        <v>2924</v>
      </c>
    </row>
    <row r="814" spans="1:19" x14ac:dyDescent="0.3">
      <c r="A814" s="9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 s="5">
        <v>0.1</v>
      </c>
      <c r="I814" t="s">
        <v>38</v>
      </c>
      <c r="J814" s="7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1">
        <v>45800</v>
      </c>
      <c r="R814" s="1">
        <v>45805</v>
      </c>
      <c r="S814" t="s">
        <v>2922</v>
      </c>
    </row>
    <row r="815" spans="1:19" x14ac:dyDescent="0.3">
      <c r="A815" s="9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 s="5">
        <v>0.05</v>
      </c>
      <c r="I815" t="s">
        <v>42</v>
      </c>
      <c r="J815" s="7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1">
        <v>45052</v>
      </c>
      <c r="R815" s="1">
        <v>45060</v>
      </c>
      <c r="S815" t="s">
        <v>2922</v>
      </c>
    </row>
    <row r="816" spans="1:19" x14ac:dyDescent="0.3">
      <c r="A816" s="9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 s="5">
        <v>0.05</v>
      </c>
      <c r="I816" t="s">
        <v>37</v>
      </c>
      <c r="J816" s="7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1">
        <v>45519</v>
      </c>
      <c r="R816" s="1">
        <v>45526</v>
      </c>
      <c r="S816" t="s">
        <v>2923</v>
      </c>
    </row>
    <row r="817" spans="1:19" x14ac:dyDescent="0.3">
      <c r="A817" s="9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 s="5">
        <v>0.15</v>
      </c>
      <c r="I817" t="s">
        <v>41</v>
      </c>
      <c r="J817" s="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1">
        <v>45161</v>
      </c>
      <c r="R817" s="1">
        <v>45169</v>
      </c>
      <c r="S817" t="s">
        <v>2923</v>
      </c>
    </row>
    <row r="818" spans="1:19" x14ac:dyDescent="0.3">
      <c r="A818" s="9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 s="5">
        <v>0</v>
      </c>
      <c r="I818" t="s">
        <v>41</v>
      </c>
      <c r="J818" s="7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1">
        <v>45760</v>
      </c>
      <c r="R818" s="1">
        <v>45769</v>
      </c>
      <c r="S818" t="s">
        <v>2923</v>
      </c>
    </row>
    <row r="819" spans="1:19" x14ac:dyDescent="0.3">
      <c r="A819" s="9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 s="5">
        <v>0.05</v>
      </c>
      <c r="I819" t="s">
        <v>38</v>
      </c>
      <c r="J819" s="7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1">
        <v>45454</v>
      </c>
      <c r="R819" s="1">
        <v>45460</v>
      </c>
      <c r="S819" t="s">
        <v>2925</v>
      </c>
    </row>
    <row r="820" spans="1:19" x14ac:dyDescent="0.3">
      <c r="A820" s="9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 s="5">
        <v>0.1</v>
      </c>
      <c r="I820" t="s">
        <v>38</v>
      </c>
      <c r="J820" s="7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1">
        <v>45411</v>
      </c>
      <c r="R820" s="1">
        <v>45416</v>
      </c>
      <c r="S820" t="s">
        <v>2923</v>
      </c>
    </row>
    <row r="821" spans="1:19" x14ac:dyDescent="0.3">
      <c r="A821" s="9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 s="5">
        <v>0.1</v>
      </c>
      <c r="I821" t="s">
        <v>38</v>
      </c>
      <c r="J821" s="7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1">
        <v>45012</v>
      </c>
      <c r="R821" s="1">
        <v>45020</v>
      </c>
      <c r="S821" t="s">
        <v>2923</v>
      </c>
    </row>
    <row r="822" spans="1:19" x14ac:dyDescent="0.3">
      <c r="A822" s="9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 s="5">
        <v>0.1</v>
      </c>
      <c r="I822" t="s">
        <v>41</v>
      </c>
      <c r="J822" s="7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1">
        <v>45588</v>
      </c>
      <c r="R822" s="1">
        <v>45590</v>
      </c>
      <c r="S822" t="s">
        <v>2924</v>
      </c>
    </row>
    <row r="823" spans="1:19" x14ac:dyDescent="0.3">
      <c r="A823" s="9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 s="5">
        <v>0.15</v>
      </c>
      <c r="I823" t="s">
        <v>39</v>
      </c>
      <c r="J823" s="7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1">
        <v>45098</v>
      </c>
      <c r="R823" s="1">
        <v>45105</v>
      </c>
      <c r="S823" t="s">
        <v>2924</v>
      </c>
    </row>
    <row r="824" spans="1:19" x14ac:dyDescent="0.3">
      <c r="A824" s="9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 s="5">
        <v>0.1</v>
      </c>
      <c r="I824" t="s">
        <v>42</v>
      </c>
      <c r="J824" s="7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1">
        <v>45058</v>
      </c>
      <c r="R824" s="1">
        <v>45065</v>
      </c>
      <c r="S824" t="s">
        <v>2925</v>
      </c>
    </row>
    <row r="825" spans="1:19" x14ac:dyDescent="0.3">
      <c r="A825" s="9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 s="5">
        <v>0.15</v>
      </c>
      <c r="I825" t="s">
        <v>40</v>
      </c>
      <c r="J825" s="7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1">
        <v>45585</v>
      </c>
      <c r="R825" s="1">
        <v>45589</v>
      </c>
      <c r="S825" t="s">
        <v>2925</v>
      </c>
    </row>
    <row r="826" spans="1:19" x14ac:dyDescent="0.3">
      <c r="A826" s="9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 s="5">
        <v>0</v>
      </c>
      <c r="I826" t="s">
        <v>41</v>
      </c>
      <c r="J826" s="7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1">
        <v>45386</v>
      </c>
      <c r="R826" s="1">
        <v>45389</v>
      </c>
      <c r="S826" t="s">
        <v>2924</v>
      </c>
    </row>
    <row r="827" spans="1:19" x14ac:dyDescent="0.3">
      <c r="A827" s="9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 s="5">
        <v>0</v>
      </c>
      <c r="I827" t="s">
        <v>42</v>
      </c>
      <c r="J827" s="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1">
        <v>45669</v>
      </c>
      <c r="R827" s="1">
        <v>45673</v>
      </c>
      <c r="S827" t="s">
        <v>2925</v>
      </c>
    </row>
    <row r="828" spans="1:19" x14ac:dyDescent="0.3">
      <c r="A828" s="9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 s="5">
        <v>0.05</v>
      </c>
      <c r="I828" t="s">
        <v>40</v>
      </c>
      <c r="J828" s="7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1">
        <v>45131</v>
      </c>
      <c r="R828" s="1">
        <v>45136</v>
      </c>
      <c r="S828" t="s">
        <v>2923</v>
      </c>
    </row>
    <row r="829" spans="1:19" x14ac:dyDescent="0.3">
      <c r="A829" s="9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 s="5">
        <v>0</v>
      </c>
      <c r="I829" t="s">
        <v>40</v>
      </c>
      <c r="J829" s="7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1">
        <v>45178</v>
      </c>
      <c r="R829" s="1">
        <v>45182</v>
      </c>
      <c r="S829" t="s">
        <v>2924</v>
      </c>
    </row>
    <row r="830" spans="1:19" x14ac:dyDescent="0.3">
      <c r="A830" s="9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 s="5">
        <v>0.15</v>
      </c>
      <c r="I830" t="s">
        <v>42</v>
      </c>
      <c r="J830" s="7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1">
        <v>45402</v>
      </c>
      <c r="R830" s="1">
        <v>45409</v>
      </c>
      <c r="S830" t="s">
        <v>2922</v>
      </c>
    </row>
    <row r="831" spans="1:19" x14ac:dyDescent="0.3">
      <c r="A831" s="9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 s="5">
        <v>0.05</v>
      </c>
      <c r="I831" t="s">
        <v>37</v>
      </c>
      <c r="J831" s="7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1">
        <v>45694</v>
      </c>
      <c r="R831" s="1">
        <v>45702</v>
      </c>
      <c r="S831" t="s">
        <v>2926</v>
      </c>
    </row>
    <row r="832" spans="1:19" x14ac:dyDescent="0.3">
      <c r="A832" s="9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 s="5">
        <v>0</v>
      </c>
      <c r="I832" t="s">
        <v>42</v>
      </c>
      <c r="J832" s="7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1">
        <v>45095</v>
      </c>
      <c r="R832" s="1">
        <v>45099</v>
      </c>
      <c r="S832" t="s">
        <v>2926</v>
      </c>
    </row>
    <row r="833" spans="1:19" x14ac:dyDescent="0.3">
      <c r="A833" s="9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 s="5">
        <v>0</v>
      </c>
      <c r="I833" t="s">
        <v>39</v>
      </c>
      <c r="J833" s="7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1">
        <v>45597</v>
      </c>
      <c r="R833" s="1">
        <v>45604</v>
      </c>
      <c r="S833" t="s">
        <v>2924</v>
      </c>
    </row>
    <row r="834" spans="1:19" x14ac:dyDescent="0.3">
      <c r="A834" s="9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 s="5">
        <v>0.15</v>
      </c>
      <c r="I834" t="s">
        <v>39</v>
      </c>
      <c r="J834" s="7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1">
        <v>45516</v>
      </c>
      <c r="R834" s="1">
        <v>45525</v>
      </c>
      <c r="S834" t="s">
        <v>2926</v>
      </c>
    </row>
    <row r="835" spans="1:19" x14ac:dyDescent="0.3">
      <c r="A835" s="9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 s="5">
        <v>0</v>
      </c>
      <c r="I835" t="s">
        <v>40</v>
      </c>
      <c r="J835" s="7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1">
        <v>45755</v>
      </c>
      <c r="R835" s="1">
        <v>45764</v>
      </c>
      <c r="S835" t="s">
        <v>2925</v>
      </c>
    </row>
    <row r="836" spans="1:19" x14ac:dyDescent="0.3">
      <c r="A836" s="9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 s="5">
        <v>0.15</v>
      </c>
      <c r="I836" t="s">
        <v>42</v>
      </c>
      <c r="J836" s="7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1">
        <v>45493</v>
      </c>
      <c r="R836" s="1">
        <v>45499</v>
      </c>
      <c r="S836" t="s">
        <v>2925</v>
      </c>
    </row>
    <row r="837" spans="1:19" x14ac:dyDescent="0.3">
      <c r="A837" s="9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 s="5">
        <v>0.05</v>
      </c>
      <c r="I837" t="s">
        <v>41</v>
      </c>
      <c r="J837" s="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1">
        <v>44974</v>
      </c>
      <c r="R837" s="1">
        <v>44978</v>
      </c>
      <c r="S837" t="s">
        <v>2926</v>
      </c>
    </row>
    <row r="838" spans="1:19" x14ac:dyDescent="0.3">
      <c r="A838" s="9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 s="5">
        <v>0.05</v>
      </c>
      <c r="I838" t="s">
        <v>37</v>
      </c>
      <c r="J838" s="7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1">
        <v>45475</v>
      </c>
      <c r="R838" s="1">
        <v>45477</v>
      </c>
      <c r="S838" t="s">
        <v>2922</v>
      </c>
    </row>
    <row r="839" spans="1:19" x14ac:dyDescent="0.3">
      <c r="A839" s="9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 s="5">
        <v>0.15</v>
      </c>
      <c r="I839" t="s">
        <v>37</v>
      </c>
      <c r="J839" s="7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1">
        <v>45748</v>
      </c>
      <c r="R839" s="1">
        <v>45751</v>
      </c>
      <c r="S839" t="s">
        <v>2924</v>
      </c>
    </row>
    <row r="840" spans="1:19" x14ac:dyDescent="0.3">
      <c r="A840" s="9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 s="5">
        <v>0.15</v>
      </c>
      <c r="I840" t="s">
        <v>39</v>
      </c>
      <c r="J840" s="7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1">
        <v>45810</v>
      </c>
      <c r="R840" s="1">
        <v>45817</v>
      </c>
      <c r="S840" t="s">
        <v>2923</v>
      </c>
    </row>
    <row r="841" spans="1:19" x14ac:dyDescent="0.3">
      <c r="A841" s="9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 s="5">
        <v>0</v>
      </c>
      <c r="I841" t="s">
        <v>40</v>
      </c>
      <c r="J841" s="7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1">
        <v>45617</v>
      </c>
      <c r="R841" s="1">
        <v>45625</v>
      </c>
      <c r="S841" t="s">
        <v>2926</v>
      </c>
    </row>
    <row r="842" spans="1:19" x14ac:dyDescent="0.3">
      <c r="A842" s="9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 s="5">
        <v>0</v>
      </c>
      <c r="I842" t="s">
        <v>40</v>
      </c>
      <c r="J842" s="7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1">
        <v>45301</v>
      </c>
      <c r="R842" s="1">
        <v>45305</v>
      </c>
      <c r="S842" t="s">
        <v>2923</v>
      </c>
    </row>
    <row r="843" spans="1:19" x14ac:dyDescent="0.3">
      <c r="A843" s="9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 s="5">
        <v>0.15</v>
      </c>
      <c r="I843" t="s">
        <v>41</v>
      </c>
      <c r="J843" s="7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1">
        <v>45220</v>
      </c>
      <c r="R843" s="1">
        <v>45225</v>
      </c>
      <c r="S843" t="s">
        <v>2924</v>
      </c>
    </row>
    <row r="844" spans="1:19" x14ac:dyDescent="0.3">
      <c r="A844" s="9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 s="5">
        <v>0</v>
      </c>
      <c r="I844" t="s">
        <v>41</v>
      </c>
      <c r="J844" s="7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1">
        <v>45677</v>
      </c>
      <c r="R844" s="1">
        <v>45679</v>
      </c>
      <c r="S844" t="s">
        <v>2924</v>
      </c>
    </row>
    <row r="845" spans="1:19" x14ac:dyDescent="0.3">
      <c r="A845" s="9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 s="5">
        <v>0.05</v>
      </c>
      <c r="I845" t="s">
        <v>40</v>
      </c>
      <c r="J845" s="7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1">
        <v>45605</v>
      </c>
      <c r="R845" s="1">
        <v>45613</v>
      </c>
      <c r="S845" t="s">
        <v>2926</v>
      </c>
    </row>
    <row r="846" spans="1:19" x14ac:dyDescent="0.3">
      <c r="A846" s="9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 s="5">
        <v>0.05</v>
      </c>
      <c r="I846" t="s">
        <v>42</v>
      </c>
      <c r="J846" s="7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1">
        <v>45385</v>
      </c>
      <c r="R846" s="1">
        <v>45389</v>
      </c>
      <c r="S846" t="s">
        <v>2926</v>
      </c>
    </row>
    <row r="847" spans="1:19" x14ac:dyDescent="0.3">
      <c r="A847" s="9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 s="5">
        <v>0.15</v>
      </c>
      <c r="I847" t="s">
        <v>38</v>
      </c>
      <c r="J847" s="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1">
        <v>45297</v>
      </c>
      <c r="R847" s="1">
        <v>45299</v>
      </c>
      <c r="S847" t="s">
        <v>2924</v>
      </c>
    </row>
    <row r="848" spans="1:19" x14ac:dyDescent="0.3">
      <c r="A848" s="9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 s="5">
        <v>0.05</v>
      </c>
      <c r="I848" t="s">
        <v>41</v>
      </c>
      <c r="J848" s="7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1">
        <v>45140</v>
      </c>
      <c r="R848" s="1">
        <v>45143</v>
      </c>
      <c r="S848" t="s">
        <v>2925</v>
      </c>
    </row>
    <row r="849" spans="1:19" x14ac:dyDescent="0.3">
      <c r="A849" s="9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 s="5">
        <v>0.15</v>
      </c>
      <c r="I849" t="s">
        <v>41</v>
      </c>
      <c r="J849" s="7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1">
        <v>45256</v>
      </c>
      <c r="R849" s="1">
        <v>45261</v>
      </c>
      <c r="S849" t="s">
        <v>2924</v>
      </c>
    </row>
    <row r="850" spans="1:19" x14ac:dyDescent="0.3">
      <c r="A850" s="9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 s="5">
        <v>0.05</v>
      </c>
      <c r="I850" t="s">
        <v>42</v>
      </c>
      <c r="J850" s="7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1">
        <v>45767</v>
      </c>
      <c r="R850" s="1">
        <v>45773</v>
      </c>
      <c r="S850" t="s">
        <v>2922</v>
      </c>
    </row>
    <row r="851" spans="1:19" x14ac:dyDescent="0.3">
      <c r="A851" s="9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 s="5">
        <v>0.15</v>
      </c>
      <c r="I851" t="s">
        <v>37</v>
      </c>
      <c r="J851" s="7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1">
        <v>45289</v>
      </c>
      <c r="R851" s="1">
        <v>45296</v>
      </c>
      <c r="S851" t="s">
        <v>2923</v>
      </c>
    </row>
    <row r="852" spans="1:19" x14ac:dyDescent="0.3">
      <c r="A852" s="9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 s="5">
        <v>0.05</v>
      </c>
      <c r="I852" t="s">
        <v>41</v>
      </c>
      <c r="J852" s="7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1">
        <v>45665</v>
      </c>
      <c r="R852" s="1">
        <v>45667</v>
      </c>
      <c r="S852" t="s">
        <v>2925</v>
      </c>
    </row>
    <row r="853" spans="1:19" x14ac:dyDescent="0.3">
      <c r="A853" s="9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 s="5">
        <v>0</v>
      </c>
      <c r="I853" t="s">
        <v>37</v>
      </c>
      <c r="J853" s="7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1">
        <v>45418</v>
      </c>
      <c r="R853" s="1">
        <v>45426</v>
      </c>
      <c r="S853" t="s">
        <v>2922</v>
      </c>
    </row>
    <row r="854" spans="1:19" x14ac:dyDescent="0.3">
      <c r="A854" s="9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 s="5">
        <v>0.05</v>
      </c>
      <c r="I854" t="s">
        <v>42</v>
      </c>
      <c r="J854" s="7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1">
        <v>45550</v>
      </c>
      <c r="R854" s="1">
        <v>45555</v>
      </c>
      <c r="S854" t="s">
        <v>2924</v>
      </c>
    </row>
    <row r="855" spans="1:19" x14ac:dyDescent="0.3">
      <c r="A855" s="9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 s="5">
        <v>0.1</v>
      </c>
      <c r="I855" t="s">
        <v>37</v>
      </c>
      <c r="J855" s="7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1">
        <v>44964</v>
      </c>
      <c r="R855" s="1">
        <v>44969</v>
      </c>
      <c r="S855" t="s">
        <v>2926</v>
      </c>
    </row>
    <row r="856" spans="1:19" x14ac:dyDescent="0.3">
      <c r="A856" s="9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 s="5">
        <v>0.05</v>
      </c>
      <c r="I856" t="s">
        <v>42</v>
      </c>
      <c r="J856" s="7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1">
        <v>44986</v>
      </c>
      <c r="R856" s="1">
        <v>44994</v>
      </c>
      <c r="S856" t="s">
        <v>2922</v>
      </c>
    </row>
    <row r="857" spans="1:19" x14ac:dyDescent="0.3">
      <c r="A857" s="9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 s="5">
        <v>0.15</v>
      </c>
      <c r="I857" t="s">
        <v>37</v>
      </c>
      <c r="J857" s="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1">
        <v>45420</v>
      </c>
      <c r="R857" s="1">
        <v>45424</v>
      </c>
      <c r="S857" t="s">
        <v>2924</v>
      </c>
    </row>
    <row r="858" spans="1:19" x14ac:dyDescent="0.3">
      <c r="A858" s="9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 s="5">
        <v>0.1</v>
      </c>
      <c r="I858" t="s">
        <v>40</v>
      </c>
      <c r="J858" s="7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1">
        <v>45449</v>
      </c>
      <c r="R858" s="1">
        <v>45451</v>
      </c>
      <c r="S858" t="s">
        <v>2922</v>
      </c>
    </row>
    <row r="859" spans="1:19" x14ac:dyDescent="0.3">
      <c r="A859" s="9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 s="5">
        <v>0.15</v>
      </c>
      <c r="I859" t="s">
        <v>40</v>
      </c>
      <c r="J859" s="7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1">
        <v>45045</v>
      </c>
      <c r="R859" s="1">
        <v>45054</v>
      </c>
      <c r="S859" t="s">
        <v>2924</v>
      </c>
    </row>
    <row r="860" spans="1:19" x14ac:dyDescent="0.3">
      <c r="A860" s="9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 s="5">
        <v>0.05</v>
      </c>
      <c r="I860" t="s">
        <v>41</v>
      </c>
      <c r="J860" s="7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1">
        <v>45189</v>
      </c>
      <c r="R860" s="1">
        <v>45191</v>
      </c>
      <c r="S860" t="s">
        <v>2925</v>
      </c>
    </row>
    <row r="861" spans="1:19" x14ac:dyDescent="0.3">
      <c r="A861" s="9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 s="5">
        <v>0.05</v>
      </c>
      <c r="I861" t="s">
        <v>39</v>
      </c>
      <c r="J861" s="7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1">
        <v>45604</v>
      </c>
      <c r="R861" s="1">
        <v>45609</v>
      </c>
      <c r="S861" t="s">
        <v>2923</v>
      </c>
    </row>
    <row r="862" spans="1:19" x14ac:dyDescent="0.3">
      <c r="A862" s="9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 s="5">
        <v>0.15</v>
      </c>
      <c r="I862" t="s">
        <v>40</v>
      </c>
      <c r="J862" s="7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1">
        <v>45007</v>
      </c>
      <c r="R862" s="1">
        <v>45015</v>
      </c>
      <c r="S862" t="s">
        <v>2924</v>
      </c>
    </row>
    <row r="863" spans="1:19" x14ac:dyDescent="0.3">
      <c r="A863" s="9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 s="5">
        <v>0</v>
      </c>
      <c r="I863" t="s">
        <v>38</v>
      </c>
      <c r="J863" s="7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1">
        <v>45174</v>
      </c>
      <c r="R863" s="1">
        <v>45182</v>
      </c>
      <c r="S863" t="s">
        <v>2922</v>
      </c>
    </row>
    <row r="864" spans="1:19" x14ac:dyDescent="0.3">
      <c r="A864" s="9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 s="5">
        <v>0.05</v>
      </c>
      <c r="I864" t="s">
        <v>38</v>
      </c>
      <c r="J864" s="7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1">
        <v>44983</v>
      </c>
      <c r="R864" s="1">
        <v>44990</v>
      </c>
      <c r="S864" t="s">
        <v>2922</v>
      </c>
    </row>
    <row r="865" spans="1:19" x14ac:dyDescent="0.3">
      <c r="A865" s="9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 s="5">
        <v>0.15</v>
      </c>
      <c r="I865" t="s">
        <v>42</v>
      </c>
      <c r="J865" s="7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1">
        <v>45622</v>
      </c>
      <c r="R865" s="1">
        <v>45625</v>
      </c>
      <c r="S865" t="s">
        <v>2926</v>
      </c>
    </row>
    <row r="866" spans="1:19" x14ac:dyDescent="0.3">
      <c r="A866" s="9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 s="5">
        <v>0</v>
      </c>
      <c r="I866" t="s">
        <v>39</v>
      </c>
      <c r="J866" s="7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1">
        <v>45579</v>
      </c>
      <c r="R866" s="1">
        <v>45582</v>
      </c>
      <c r="S866" t="s">
        <v>2925</v>
      </c>
    </row>
    <row r="867" spans="1:19" x14ac:dyDescent="0.3">
      <c r="A867" s="9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 s="5">
        <v>0.1</v>
      </c>
      <c r="I867" t="s">
        <v>41</v>
      </c>
      <c r="J867" s="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1">
        <v>45075</v>
      </c>
      <c r="R867" s="1">
        <v>45080</v>
      </c>
      <c r="S867" t="s">
        <v>2925</v>
      </c>
    </row>
    <row r="868" spans="1:19" x14ac:dyDescent="0.3">
      <c r="A868" s="9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 s="5">
        <v>0.15</v>
      </c>
      <c r="I868" t="s">
        <v>38</v>
      </c>
      <c r="J868" s="7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1">
        <v>45373</v>
      </c>
      <c r="R868" s="1">
        <v>45382</v>
      </c>
      <c r="S868" t="s">
        <v>2925</v>
      </c>
    </row>
    <row r="869" spans="1:19" x14ac:dyDescent="0.3">
      <c r="A869" s="9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 s="5">
        <v>0</v>
      </c>
      <c r="I869" t="s">
        <v>42</v>
      </c>
      <c r="J869" s="7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1">
        <v>45038</v>
      </c>
      <c r="R869" s="1">
        <v>45048</v>
      </c>
      <c r="S869" t="s">
        <v>2923</v>
      </c>
    </row>
    <row r="870" spans="1:19" x14ac:dyDescent="0.3">
      <c r="A870" s="9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 s="5">
        <v>0.05</v>
      </c>
      <c r="I870" t="s">
        <v>41</v>
      </c>
      <c r="J870" s="7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1">
        <v>45814</v>
      </c>
      <c r="R870" s="1">
        <v>45820</v>
      </c>
      <c r="S870" t="s">
        <v>2924</v>
      </c>
    </row>
    <row r="871" spans="1:19" x14ac:dyDescent="0.3">
      <c r="A871" s="9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 s="5">
        <v>0</v>
      </c>
      <c r="I871" t="s">
        <v>39</v>
      </c>
      <c r="J871" s="7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1">
        <v>44951</v>
      </c>
      <c r="R871" s="1">
        <v>44955</v>
      </c>
      <c r="S871" t="s">
        <v>2925</v>
      </c>
    </row>
    <row r="872" spans="1:19" x14ac:dyDescent="0.3">
      <c r="A872" s="9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 s="5">
        <v>0.1</v>
      </c>
      <c r="I872" t="s">
        <v>39</v>
      </c>
      <c r="J872" s="7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1">
        <v>45177</v>
      </c>
      <c r="R872" s="1">
        <v>45179</v>
      </c>
      <c r="S872" t="s">
        <v>2923</v>
      </c>
    </row>
    <row r="873" spans="1:19" x14ac:dyDescent="0.3">
      <c r="A873" s="9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 s="5">
        <v>0.15</v>
      </c>
      <c r="I873" t="s">
        <v>37</v>
      </c>
      <c r="J873" s="7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1">
        <v>45569</v>
      </c>
      <c r="R873" s="1">
        <v>45576</v>
      </c>
      <c r="S873" t="s">
        <v>2922</v>
      </c>
    </row>
    <row r="874" spans="1:19" x14ac:dyDescent="0.3">
      <c r="A874" s="9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 s="5">
        <v>0.15</v>
      </c>
      <c r="I874" t="s">
        <v>38</v>
      </c>
      <c r="J874" s="7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1">
        <v>45753</v>
      </c>
      <c r="R874" s="1">
        <v>45755</v>
      </c>
      <c r="S874" t="s">
        <v>2922</v>
      </c>
    </row>
    <row r="875" spans="1:19" x14ac:dyDescent="0.3">
      <c r="A875" s="9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 s="5">
        <v>0.15</v>
      </c>
      <c r="I875" t="s">
        <v>41</v>
      </c>
      <c r="J875" s="7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1">
        <v>45529</v>
      </c>
      <c r="R875" s="1">
        <v>45533</v>
      </c>
      <c r="S875" t="s">
        <v>2922</v>
      </c>
    </row>
    <row r="876" spans="1:19" x14ac:dyDescent="0.3">
      <c r="A876" s="9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 s="5">
        <v>0.15</v>
      </c>
      <c r="I876" t="s">
        <v>40</v>
      </c>
      <c r="J876" s="7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1">
        <v>45357</v>
      </c>
      <c r="R876" s="1">
        <v>45363</v>
      </c>
      <c r="S876" t="s">
        <v>2924</v>
      </c>
    </row>
    <row r="877" spans="1:19" x14ac:dyDescent="0.3">
      <c r="A877" s="9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 s="5">
        <v>0</v>
      </c>
      <c r="I877" t="s">
        <v>41</v>
      </c>
      <c r="J877" s="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1">
        <v>45008</v>
      </c>
      <c r="R877" s="1">
        <v>45011</v>
      </c>
      <c r="S877" t="s">
        <v>2922</v>
      </c>
    </row>
    <row r="878" spans="1:19" x14ac:dyDescent="0.3">
      <c r="A878" s="9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 s="5">
        <v>0.05</v>
      </c>
      <c r="I878" t="s">
        <v>38</v>
      </c>
      <c r="J878" s="7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1">
        <v>45304</v>
      </c>
      <c r="R878" s="1">
        <v>45308</v>
      </c>
      <c r="S878" t="s">
        <v>2925</v>
      </c>
    </row>
    <row r="879" spans="1:19" x14ac:dyDescent="0.3">
      <c r="A879" s="9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 s="5">
        <v>0</v>
      </c>
      <c r="I879" t="s">
        <v>39</v>
      </c>
      <c r="J879" s="7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1">
        <v>45125</v>
      </c>
      <c r="R879" s="1">
        <v>45131</v>
      </c>
      <c r="S879" t="s">
        <v>2925</v>
      </c>
    </row>
    <row r="880" spans="1:19" x14ac:dyDescent="0.3">
      <c r="A880" s="9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 s="5">
        <v>0.15</v>
      </c>
      <c r="I880" t="s">
        <v>40</v>
      </c>
      <c r="J880" s="7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1">
        <v>45711</v>
      </c>
      <c r="R880" s="1">
        <v>45720</v>
      </c>
      <c r="S880" t="s">
        <v>2926</v>
      </c>
    </row>
    <row r="881" spans="1:19" x14ac:dyDescent="0.3">
      <c r="A881" s="9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 s="5">
        <v>0.1</v>
      </c>
      <c r="I881" t="s">
        <v>40</v>
      </c>
      <c r="J881" s="7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1">
        <v>44979</v>
      </c>
      <c r="R881" s="1">
        <v>44987</v>
      </c>
      <c r="S881" t="s">
        <v>2922</v>
      </c>
    </row>
    <row r="882" spans="1:19" x14ac:dyDescent="0.3">
      <c r="A882" s="9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 s="5">
        <v>0</v>
      </c>
      <c r="I882" t="s">
        <v>37</v>
      </c>
      <c r="J882" s="7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1">
        <v>45583</v>
      </c>
      <c r="R882" s="1">
        <v>45593</v>
      </c>
      <c r="S882" t="s">
        <v>2924</v>
      </c>
    </row>
    <row r="883" spans="1:19" x14ac:dyDescent="0.3">
      <c r="A883" s="9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 s="5">
        <v>0.05</v>
      </c>
      <c r="I883" t="s">
        <v>40</v>
      </c>
      <c r="J883" s="7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1">
        <v>45225</v>
      </c>
      <c r="R883" s="1">
        <v>45230</v>
      </c>
      <c r="S883" t="s">
        <v>2926</v>
      </c>
    </row>
    <row r="884" spans="1:19" x14ac:dyDescent="0.3">
      <c r="A884" s="9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 s="5">
        <v>0.1</v>
      </c>
      <c r="I884" t="s">
        <v>37</v>
      </c>
      <c r="J884" s="7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1">
        <v>44936</v>
      </c>
      <c r="R884" s="1">
        <v>44940</v>
      </c>
      <c r="S884" t="s">
        <v>2925</v>
      </c>
    </row>
    <row r="885" spans="1:19" x14ac:dyDescent="0.3">
      <c r="A885" s="9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 s="5">
        <v>0.1</v>
      </c>
      <c r="I885" t="s">
        <v>40</v>
      </c>
      <c r="J885" s="7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1">
        <v>45370</v>
      </c>
      <c r="R885" s="1">
        <v>45373</v>
      </c>
      <c r="S885" t="s">
        <v>2925</v>
      </c>
    </row>
    <row r="886" spans="1:19" x14ac:dyDescent="0.3">
      <c r="A886" s="9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 s="5">
        <v>0.05</v>
      </c>
      <c r="I886" t="s">
        <v>38</v>
      </c>
      <c r="J886" s="7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1">
        <v>45280</v>
      </c>
      <c r="R886" s="1">
        <v>45286</v>
      </c>
      <c r="S886" t="s">
        <v>2925</v>
      </c>
    </row>
    <row r="887" spans="1:19" x14ac:dyDescent="0.3">
      <c r="A887" s="9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 s="5">
        <v>0.1</v>
      </c>
      <c r="I887" t="s">
        <v>41</v>
      </c>
      <c r="J887" s="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1">
        <v>45635</v>
      </c>
      <c r="R887" s="1">
        <v>45645</v>
      </c>
      <c r="S887" t="s">
        <v>2925</v>
      </c>
    </row>
    <row r="888" spans="1:19" x14ac:dyDescent="0.3">
      <c r="A888" s="9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 s="5">
        <v>0.05</v>
      </c>
      <c r="I888" t="s">
        <v>42</v>
      </c>
      <c r="J888" s="7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1">
        <v>45056</v>
      </c>
      <c r="R888" s="1">
        <v>45066</v>
      </c>
      <c r="S888" t="s">
        <v>2925</v>
      </c>
    </row>
    <row r="889" spans="1:19" x14ac:dyDescent="0.3">
      <c r="A889" s="9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 s="5">
        <v>0.1</v>
      </c>
      <c r="I889" t="s">
        <v>42</v>
      </c>
      <c r="J889" s="7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1">
        <v>45217</v>
      </c>
      <c r="R889" s="1">
        <v>45220</v>
      </c>
      <c r="S889" t="s">
        <v>2923</v>
      </c>
    </row>
    <row r="890" spans="1:19" x14ac:dyDescent="0.3">
      <c r="A890" s="9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 s="5">
        <v>0</v>
      </c>
      <c r="I890" t="s">
        <v>42</v>
      </c>
      <c r="J890" s="7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1">
        <v>45629</v>
      </c>
      <c r="R890" s="1">
        <v>45632</v>
      </c>
      <c r="S890" t="s">
        <v>2923</v>
      </c>
    </row>
    <row r="891" spans="1:19" x14ac:dyDescent="0.3">
      <c r="A891" s="9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 s="5">
        <v>0.1</v>
      </c>
      <c r="I891" t="s">
        <v>40</v>
      </c>
      <c r="J891" s="7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1">
        <v>45575</v>
      </c>
      <c r="R891" s="1">
        <v>45582</v>
      </c>
      <c r="S891" t="s">
        <v>2923</v>
      </c>
    </row>
    <row r="892" spans="1:19" x14ac:dyDescent="0.3">
      <c r="A892" s="9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 s="5">
        <v>0.1</v>
      </c>
      <c r="I892" t="s">
        <v>37</v>
      </c>
      <c r="J892" s="7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1">
        <v>45446</v>
      </c>
      <c r="R892" s="1">
        <v>45450</v>
      </c>
      <c r="S892" t="s">
        <v>2922</v>
      </c>
    </row>
    <row r="893" spans="1:19" x14ac:dyDescent="0.3">
      <c r="A893" s="9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 s="5">
        <v>0.05</v>
      </c>
      <c r="I893" t="s">
        <v>37</v>
      </c>
      <c r="J893" s="7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1">
        <v>45742</v>
      </c>
      <c r="R893" s="1">
        <v>45745</v>
      </c>
      <c r="S893" t="s">
        <v>2923</v>
      </c>
    </row>
    <row r="894" spans="1:19" x14ac:dyDescent="0.3">
      <c r="A894" s="9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 s="5">
        <v>0.1</v>
      </c>
      <c r="I894" t="s">
        <v>40</v>
      </c>
      <c r="J894" s="7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1">
        <v>45408</v>
      </c>
      <c r="R894" s="1">
        <v>45413</v>
      </c>
      <c r="S894" t="s">
        <v>2924</v>
      </c>
    </row>
    <row r="895" spans="1:19" x14ac:dyDescent="0.3">
      <c r="A895" s="9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 s="5">
        <v>0.1</v>
      </c>
      <c r="I895" t="s">
        <v>37</v>
      </c>
      <c r="J895" s="7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1">
        <v>45051</v>
      </c>
      <c r="R895" s="1">
        <v>45059</v>
      </c>
      <c r="S895" t="s">
        <v>2926</v>
      </c>
    </row>
    <row r="896" spans="1:19" x14ac:dyDescent="0.3">
      <c r="A896" s="9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 s="5">
        <v>0</v>
      </c>
      <c r="I896" t="s">
        <v>40</v>
      </c>
      <c r="J896" s="7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1">
        <v>45192</v>
      </c>
      <c r="R896" s="1">
        <v>45198</v>
      </c>
      <c r="S896" t="s">
        <v>2926</v>
      </c>
    </row>
    <row r="897" spans="1:19" x14ac:dyDescent="0.3">
      <c r="A897" s="9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 s="5">
        <v>0.15</v>
      </c>
      <c r="I897" t="s">
        <v>39</v>
      </c>
      <c r="J897" s="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1">
        <v>45724</v>
      </c>
      <c r="R897" s="1">
        <v>45731</v>
      </c>
      <c r="S897" t="s">
        <v>2923</v>
      </c>
    </row>
    <row r="898" spans="1:19" x14ac:dyDescent="0.3">
      <c r="A898" s="9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 s="5">
        <v>0</v>
      </c>
      <c r="I898" t="s">
        <v>40</v>
      </c>
      <c r="J898" s="7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1">
        <v>44943</v>
      </c>
      <c r="R898" s="1">
        <v>44953</v>
      </c>
      <c r="S898" t="s">
        <v>2924</v>
      </c>
    </row>
    <row r="899" spans="1:19" x14ac:dyDescent="0.3">
      <c r="A899" s="9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 s="5">
        <v>0.1</v>
      </c>
      <c r="I899" t="s">
        <v>37</v>
      </c>
      <c r="J899" s="7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1">
        <v>45045</v>
      </c>
      <c r="R899" s="1">
        <v>45047</v>
      </c>
      <c r="S899" t="s">
        <v>2925</v>
      </c>
    </row>
    <row r="900" spans="1:19" x14ac:dyDescent="0.3">
      <c r="A900" s="9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 s="5">
        <v>0.1</v>
      </c>
      <c r="I900" t="s">
        <v>41</v>
      </c>
      <c r="J900" s="7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1">
        <v>45704</v>
      </c>
      <c r="R900" s="1">
        <v>45710</v>
      </c>
      <c r="S900" t="s">
        <v>2923</v>
      </c>
    </row>
    <row r="901" spans="1:19" x14ac:dyDescent="0.3">
      <c r="A901" s="9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 s="5">
        <v>0.15</v>
      </c>
      <c r="I901" t="s">
        <v>41</v>
      </c>
      <c r="J901" s="7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1">
        <v>45082</v>
      </c>
      <c r="R901" s="1">
        <v>45086</v>
      </c>
      <c r="S901" t="s">
        <v>2922</v>
      </c>
    </row>
    <row r="902" spans="1:19" x14ac:dyDescent="0.3">
      <c r="A902" s="9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 s="5">
        <v>0.05</v>
      </c>
      <c r="I902" t="s">
        <v>39</v>
      </c>
      <c r="J902" s="7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1">
        <v>45166</v>
      </c>
      <c r="R902" s="1">
        <v>45175</v>
      </c>
      <c r="S902" t="s">
        <v>2923</v>
      </c>
    </row>
    <row r="903" spans="1:19" x14ac:dyDescent="0.3">
      <c r="A903" s="9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 s="5">
        <v>0.05</v>
      </c>
      <c r="I903" t="s">
        <v>39</v>
      </c>
      <c r="J903" s="7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1">
        <v>45139</v>
      </c>
      <c r="R903" s="1">
        <v>45148</v>
      </c>
      <c r="S903" t="s">
        <v>2924</v>
      </c>
    </row>
    <row r="904" spans="1:19" x14ac:dyDescent="0.3">
      <c r="A904" s="9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 s="5">
        <v>0.15</v>
      </c>
      <c r="I904" t="s">
        <v>39</v>
      </c>
      <c r="J904" s="7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1">
        <v>45700</v>
      </c>
      <c r="R904" s="1">
        <v>45708</v>
      </c>
      <c r="S904" t="s">
        <v>2926</v>
      </c>
    </row>
    <row r="905" spans="1:19" x14ac:dyDescent="0.3">
      <c r="A905" s="9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 s="5">
        <v>0.1</v>
      </c>
      <c r="I905" t="s">
        <v>40</v>
      </c>
      <c r="J905" s="7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1">
        <v>45110</v>
      </c>
      <c r="R905" s="1">
        <v>45113</v>
      </c>
      <c r="S905" t="s">
        <v>2925</v>
      </c>
    </row>
    <row r="906" spans="1:19" x14ac:dyDescent="0.3">
      <c r="A906" s="9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 s="5">
        <v>0.05</v>
      </c>
      <c r="I906" t="s">
        <v>37</v>
      </c>
      <c r="J906" s="7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1">
        <v>45786</v>
      </c>
      <c r="R906" s="1">
        <v>45790</v>
      </c>
      <c r="S906" t="s">
        <v>2925</v>
      </c>
    </row>
    <row r="907" spans="1:19" x14ac:dyDescent="0.3">
      <c r="A907" s="9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 s="5">
        <v>0.1</v>
      </c>
      <c r="I907" t="s">
        <v>40</v>
      </c>
      <c r="J907" s="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1">
        <v>45417</v>
      </c>
      <c r="R907" s="1">
        <v>45426</v>
      </c>
      <c r="S907" t="s">
        <v>2926</v>
      </c>
    </row>
    <row r="908" spans="1:19" x14ac:dyDescent="0.3">
      <c r="A908" s="9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 s="5">
        <v>0</v>
      </c>
      <c r="I908" t="s">
        <v>37</v>
      </c>
      <c r="J908" s="7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1">
        <v>45299</v>
      </c>
      <c r="R908" s="1">
        <v>45306</v>
      </c>
      <c r="S908" t="s">
        <v>2923</v>
      </c>
    </row>
    <row r="909" spans="1:19" x14ac:dyDescent="0.3">
      <c r="A909" s="9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 s="5">
        <v>0</v>
      </c>
      <c r="I909" t="s">
        <v>37</v>
      </c>
      <c r="J909" s="7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1">
        <v>45670</v>
      </c>
      <c r="R909" s="1">
        <v>45674</v>
      </c>
      <c r="S909" t="s">
        <v>2923</v>
      </c>
    </row>
    <row r="910" spans="1:19" x14ac:dyDescent="0.3">
      <c r="A910" s="9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 s="5">
        <v>0</v>
      </c>
      <c r="I910" t="s">
        <v>42</v>
      </c>
      <c r="J910" s="7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1">
        <v>45820</v>
      </c>
      <c r="R910" s="1">
        <v>45826</v>
      </c>
      <c r="S910" t="s">
        <v>2922</v>
      </c>
    </row>
    <row r="911" spans="1:19" x14ac:dyDescent="0.3">
      <c r="A911" s="9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 s="5">
        <v>0.15</v>
      </c>
      <c r="I911" t="s">
        <v>40</v>
      </c>
      <c r="J911" s="7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1">
        <v>45750</v>
      </c>
      <c r="R911" s="1">
        <v>45759</v>
      </c>
      <c r="S911" t="s">
        <v>2924</v>
      </c>
    </row>
    <row r="912" spans="1:19" x14ac:dyDescent="0.3">
      <c r="A912" s="9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 s="5">
        <v>0.15</v>
      </c>
      <c r="I912" t="s">
        <v>37</v>
      </c>
      <c r="J912" s="7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1">
        <v>44952</v>
      </c>
      <c r="R912" s="1">
        <v>44956</v>
      </c>
      <c r="S912" t="s">
        <v>2925</v>
      </c>
    </row>
    <row r="913" spans="1:19" x14ac:dyDescent="0.3">
      <c r="A913" s="9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 s="5">
        <v>0.1</v>
      </c>
      <c r="I913" t="s">
        <v>42</v>
      </c>
      <c r="J913" s="7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1">
        <v>44933</v>
      </c>
      <c r="R913" s="1">
        <v>44937</v>
      </c>
      <c r="S913" t="s">
        <v>2925</v>
      </c>
    </row>
    <row r="914" spans="1:19" x14ac:dyDescent="0.3">
      <c r="A914" s="9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 s="5">
        <v>0.1</v>
      </c>
      <c r="I914" t="s">
        <v>40</v>
      </c>
      <c r="J914" s="7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1">
        <v>45672</v>
      </c>
      <c r="R914" s="1">
        <v>45680</v>
      </c>
      <c r="S914" t="s">
        <v>2924</v>
      </c>
    </row>
    <row r="915" spans="1:19" x14ac:dyDescent="0.3">
      <c r="A915" s="9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 s="5">
        <v>0</v>
      </c>
      <c r="I915" t="s">
        <v>41</v>
      </c>
      <c r="J915" s="7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1">
        <v>45626</v>
      </c>
      <c r="R915" s="1">
        <v>45631</v>
      </c>
      <c r="S915" t="s">
        <v>2922</v>
      </c>
    </row>
    <row r="916" spans="1:19" x14ac:dyDescent="0.3">
      <c r="A916" s="9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 s="5">
        <v>0.15</v>
      </c>
      <c r="I916" t="s">
        <v>40</v>
      </c>
      <c r="J916" s="7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1">
        <v>45348</v>
      </c>
      <c r="R916" s="1">
        <v>45358</v>
      </c>
      <c r="S916" t="s">
        <v>2922</v>
      </c>
    </row>
    <row r="917" spans="1:19" x14ac:dyDescent="0.3">
      <c r="A917" s="9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 s="5">
        <v>0.05</v>
      </c>
      <c r="I917" t="s">
        <v>42</v>
      </c>
      <c r="J917" s="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1">
        <v>45819</v>
      </c>
      <c r="R917" s="1">
        <v>45823</v>
      </c>
      <c r="S917" t="s">
        <v>2924</v>
      </c>
    </row>
    <row r="918" spans="1:19" x14ac:dyDescent="0.3">
      <c r="A918" s="9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 s="5">
        <v>0</v>
      </c>
      <c r="I918" t="s">
        <v>37</v>
      </c>
      <c r="J918" s="7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1">
        <v>45259</v>
      </c>
      <c r="R918" s="1">
        <v>45264</v>
      </c>
      <c r="S918" t="s">
        <v>2925</v>
      </c>
    </row>
    <row r="919" spans="1:19" x14ac:dyDescent="0.3">
      <c r="A919" s="9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 s="5">
        <v>0.05</v>
      </c>
      <c r="I919" t="s">
        <v>41</v>
      </c>
      <c r="J919" s="7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1">
        <v>45470</v>
      </c>
      <c r="R919" s="1">
        <v>45478</v>
      </c>
      <c r="S919" t="s">
        <v>2923</v>
      </c>
    </row>
    <row r="920" spans="1:19" x14ac:dyDescent="0.3">
      <c r="A920" s="9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 s="5">
        <v>0.05</v>
      </c>
      <c r="I920" t="s">
        <v>42</v>
      </c>
      <c r="J920" s="7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1">
        <v>45432</v>
      </c>
      <c r="R920" s="1">
        <v>45439</v>
      </c>
      <c r="S920" t="s">
        <v>2923</v>
      </c>
    </row>
    <row r="921" spans="1:19" x14ac:dyDescent="0.3">
      <c r="A921" s="9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 s="5">
        <v>0</v>
      </c>
      <c r="I921" t="s">
        <v>40</v>
      </c>
      <c r="J921" s="7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1">
        <v>45094</v>
      </c>
      <c r="R921" s="1">
        <v>45099</v>
      </c>
      <c r="S921" t="s">
        <v>2926</v>
      </c>
    </row>
    <row r="922" spans="1:19" x14ac:dyDescent="0.3">
      <c r="A922" s="9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 s="5">
        <v>0.1</v>
      </c>
      <c r="I922" t="s">
        <v>37</v>
      </c>
      <c r="J922" s="7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1">
        <v>45602</v>
      </c>
      <c r="R922" s="1">
        <v>45609</v>
      </c>
      <c r="S922" t="s">
        <v>2922</v>
      </c>
    </row>
    <row r="923" spans="1:19" x14ac:dyDescent="0.3">
      <c r="A923" s="9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 s="5">
        <v>0.15</v>
      </c>
      <c r="I923" t="s">
        <v>40</v>
      </c>
      <c r="J923" s="7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1">
        <v>45700</v>
      </c>
      <c r="R923" s="1">
        <v>45708</v>
      </c>
      <c r="S923" t="s">
        <v>2924</v>
      </c>
    </row>
    <row r="924" spans="1:19" x14ac:dyDescent="0.3">
      <c r="A924" s="9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 s="5">
        <v>0</v>
      </c>
      <c r="I924" t="s">
        <v>38</v>
      </c>
      <c r="J924" s="7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1">
        <v>45756</v>
      </c>
      <c r="R924" s="1">
        <v>45761</v>
      </c>
      <c r="S924" t="s">
        <v>2924</v>
      </c>
    </row>
    <row r="925" spans="1:19" x14ac:dyDescent="0.3">
      <c r="A925" s="9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 s="5">
        <v>0.05</v>
      </c>
      <c r="I925" t="s">
        <v>40</v>
      </c>
      <c r="J925" s="7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1">
        <v>45522</v>
      </c>
      <c r="R925" s="1">
        <v>45530</v>
      </c>
      <c r="S925" t="s">
        <v>2924</v>
      </c>
    </row>
    <row r="926" spans="1:19" x14ac:dyDescent="0.3">
      <c r="A926" s="9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 s="5">
        <v>0.05</v>
      </c>
      <c r="I926" t="s">
        <v>39</v>
      </c>
      <c r="J926" s="7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1">
        <v>44977</v>
      </c>
      <c r="R926" s="1">
        <v>44980</v>
      </c>
      <c r="S926" t="s">
        <v>2925</v>
      </c>
    </row>
    <row r="927" spans="1:19" x14ac:dyDescent="0.3">
      <c r="A927" s="9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 s="5">
        <v>0.05</v>
      </c>
      <c r="I927" t="s">
        <v>41</v>
      </c>
      <c r="J927" s="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1">
        <v>45775</v>
      </c>
      <c r="R927" s="1">
        <v>45785</v>
      </c>
      <c r="S927" t="s">
        <v>2924</v>
      </c>
    </row>
    <row r="928" spans="1:19" x14ac:dyDescent="0.3">
      <c r="A928" s="9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 s="5">
        <v>0</v>
      </c>
      <c r="I928" t="s">
        <v>37</v>
      </c>
      <c r="J928" s="7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1">
        <v>45148</v>
      </c>
      <c r="R928" s="1">
        <v>45151</v>
      </c>
      <c r="S928" t="s">
        <v>2925</v>
      </c>
    </row>
    <row r="929" spans="1:19" x14ac:dyDescent="0.3">
      <c r="A929" s="9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 s="5">
        <v>0.1</v>
      </c>
      <c r="I929" t="s">
        <v>40</v>
      </c>
      <c r="J929" s="7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1">
        <v>45467</v>
      </c>
      <c r="R929" s="1">
        <v>45472</v>
      </c>
      <c r="S929" t="s">
        <v>2924</v>
      </c>
    </row>
    <row r="930" spans="1:19" x14ac:dyDescent="0.3">
      <c r="A930" s="9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 s="5">
        <v>0.05</v>
      </c>
      <c r="I930" t="s">
        <v>38</v>
      </c>
      <c r="J930" s="7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1">
        <v>45144</v>
      </c>
      <c r="R930" s="1">
        <v>45150</v>
      </c>
      <c r="S930" t="s">
        <v>2925</v>
      </c>
    </row>
    <row r="931" spans="1:19" x14ac:dyDescent="0.3">
      <c r="A931" s="9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 s="5">
        <v>0.1</v>
      </c>
      <c r="I931" t="s">
        <v>39</v>
      </c>
      <c r="J931" s="7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1">
        <v>45622</v>
      </c>
      <c r="R931" s="1">
        <v>45626</v>
      </c>
      <c r="S931" t="s">
        <v>2922</v>
      </c>
    </row>
    <row r="932" spans="1:19" x14ac:dyDescent="0.3">
      <c r="A932" s="9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 s="5">
        <v>0.1</v>
      </c>
      <c r="I932" t="s">
        <v>38</v>
      </c>
      <c r="J932" s="7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1">
        <v>45694</v>
      </c>
      <c r="R932" s="1">
        <v>45698</v>
      </c>
      <c r="S932" t="s">
        <v>2922</v>
      </c>
    </row>
    <row r="933" spans="1:19" x14ac:dyDescent="0.3">
      <c r="A933" s="9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 s="5">
        <v>0.15</v>
      </c>
      <c r="I933" t="s">
        <v>42</v>
      </c>
      <c r="J933" s="7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1">
        <v>45736</v>
      </c>
      <c r="R933" s="1">
        <v>45742</v>
      </c>
      <c r="S933" t="s">
        <v>2922</v>
      </c>
    </row>
    <row r="934" spans="1:19" x14ac:dyDescent="0.3">
      <c r="A934" s="9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 s="5">
        <v>0.05</v>
      </c>
      <c r="I934" t="s">
        <v>38</v>
      </c>
      <c r="J934" s="7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1">
        <v>45545</v>
      </c>
      <c r="R934" s="1">
        <v>45547</v>
      </c>
      <c r="S934" t="s">
        <v>2923</v>
      </c>
    </row>
    <row r="935" spans="1:19" x14ac:dyDescent="0.3">
      <c r="A935" s="9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 s="5">
        <v>0.1</v>
      </c>
      <c r="I935" t="s">
        <v>37</v>
      </c>
      <c r="J935" s="7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1">
        <v>45708</v>
      </c>
      <c r="R935" s="1">
        <v>45718</v>
      </c>
      <c r="S935" t="s">
        <v>2923</v>
      </c>
    </row>
    <row r="936" spans="1:19" x14ac:dyDescent="0.3">
      <c r="A936" s="9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 s="5">
        <v>0.15</v>
      </c>
      <c r="I936" t="s">
        <v>41</v>
      </c>
      <c r="J936" s="7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1">
        <v>44946</v>
      </c>
      <c r="R936" s="1">
        <v>44952</v>
      </c>
      <c r="S936" t="s">
        <v>2922</v>
      </c>
    </row>
    <row r="937" spans="1:19" x14ac:dyDescent="0.3">
      <c r="A937" s="9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 s="5">
        <v>0.05</v>
      </c>
      <c r="I937" t="s">
        <v>38</v>
      </c>
      <c r="J937" s="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1">
        <v>45354</v>
      </c>
      <c r="R937" s="1">
        <v>45357</v>
      </c>
      <c r="S937" t="s">
        <v>2922</v>
      </c>
    </row>
    <row r="938" spans="1:19" x14ac:dyDescent="0.3">
      <c r="A938" s="9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 s="5">
        <v>0.1</v>
      </c>
      <c r="I938" t="s">
        <v>40</v>
      </c>
      <c r="J938" s="7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1">
        <v>45257</v>
      </c>
      <c r="R938" s="1">
        <v>45263</v>
      </c>
      <c r="S938" t="s">
        <v>2926</v>
      </c>
    </row>
    <row r="939" spans="1:19" x14ac:dyDescent="0.3">
      <c r="A939" s="9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 s="5">
        <v>0</v>
      </c>
      <c r="I939" t="s">
        <v>41</v>
      </c>
      <c r="J939" s="7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1">
        <v>45606</v>
      </c>
      <c r="R939" s="1">
        <v>45614</v>
      </c>
      <c r="S939" t="s">
        <v>2922</v>
      </c>
    </row>
    <row r="940" spans="1:19" x14ac:dyDescent="0.3">
      <c r="A940" s="9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 s="5">
        <v>0.1</v>
      </c>
      <c r="I940" t="s">
        <v>38</v>
      </c>
      <c r="J940" s="7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1">
        <v>45692</v>
      </c>
      <c r="R940" s="1">
        <v>45696</v>
      </c>
      <c r="S940" t="s">
        <v>2925</v>
      </c>
    </row>
    <row r="941" spans="1:19" x14ac:dyDescent="0.3">
      <c r="A941" s="9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 s="5">
        <v>0.05</v>
      </c>
      <c r="I941" t="s">
        <v>41</v>
      </c>
      <c r="J941" s="7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1">
        <v>45343</v>
      </c>
      <c r="R941" s="1">
        <v>45353</v>
      </c>
      <c r="S941" t="s">
        <v>2922</v>
      </c>
    </row>
    <row r="942" spans="1:19" x14ac:dyDescent="0.3">
      <c r="A942" s="9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 s="5">
        <v>0.1</v>
      </c>
      <c r="I942" t="s">
        <v>39</v>
      </c>
      <c r="J942" s="7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1">
        <v>45009</v>
      </c>
      <c r="R942" s="1">
        <v>45014</v>
      </c>
      <c r="S942" t="s">
        <v>2922</v>
      </c>
    </row>
    <row r="943" spans="1:19" x14ac:dyDescent="0.3">
      <c r="A943" s="9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 s="5">
        <v>0.1</v>
      </c>
      <c r="I943" t="s">
        <v>38</v>
      </c>
      <c r="J943" s="7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1">
        <v>45417</v>
      </c>
      <c r="R943" s="1">
        <v>45425</v>
      </c>
      <c r="S943" t="s">
        <v>2923</v>
      </c>
    </row>
    <row r="944" spans="1:19" x14ac:dyDescent="0.3">
      <c r="A944" s="9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 s="5">
        <v>0.1</v>
      </c>
      <c r="I944" t="s">
        <v>38</v>
      </c>
      <c r="J944" s="7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1">
        <v>45569</v>
      </c>
      <c r="R944" s="1">
        <v>45572</v>
      </c>
      <c r="S944" t="s">
        <v>2923</v>
      </c>
    </row>
    <row r="945" spans="1:19" x14ac:dyDescent="0.3">
      <c r="A945" s="9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 s="5">
        <v>0</v>
      </c>
      <c r="I945" t="s">
        <v>41</v>
      </c>
      <c r="J945" s="7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1">
        <v>45661</v>
      </c>
      <c r="R945" s="1">
        <v>45671</v>
      </c>
      <c r="S945" t="s">
        <v>2923</v>
      </c>
    </row>
    <row r="946" spans="1:19" x14ac:dyDescent="0.3">
      <c r="A946" s="9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 s="5">
        <v>0.05</v>
      </c>
      <c r="I946" t="s">
        <v>37</v>
      </c>
      <c r="J946" s="7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1">
        <v>45649</v>
      </c>
      <c r="R946" s="1">
        <v>45659</v>
      </c>
      <c r="S946" t="s">
        <v>2925</v>
      </c>
    </row>
    <row r="947" spans="1:19" x14ac:dyDescent="0.3">
      <c r="A947" s="9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 s="5">
        <v>0.05</v>
      </c>
      <c r="I947" t="s">
        <v>42</v>
      </c>
      <c r="J947" s="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1">
        <v>44955</v>
      </c>
      <c r="R947" s="1">
        <v>44965</v>
      </c>
      <c r="S947" t="s">
        <v>2925</v>
      </c>
    </row>
    <row r="948" spans="1:19" x14ac:dyDescent="0.3">
      <c r="A948" s="9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 s="5">
        <v>0.05</v>
      </c>
      <c r="I948" t="s">
        <v>38</v>
      </c>
      <c r="J948" s="7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1">
        <v>45515</v>
      </c>
      <c r="R948" s="1">
        <v>45521</v>
      </c>
      <c r="S948" t="s">
        <v>2926</v>
      </c>
    </row>
    <row r="949" spans="1:19" x14ac:dyDescent="0.3">
      <c r="A949" s="9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 s="5">
        <v>0</v>
      </c>
      <c r="I949" t="s">
        <v>40</v>
      </c>
      <c r="J949" s="7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1">
        <v>45255</v>
      </c>
      <c r="R949" s="1">
        <v>45260</v>
      </c>
      <c r="S949" t="s">
        <v>2924</v>
      </c>
    </row>
    <row r="950" spans="1:19" x14ac:dyDescent="0.3">
      <c r="A950" s="9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 s="5">
        <v>0.1</v>
      </c>
      <c r="I950" t="s">
        <v>38</v>
      </c>
      <c r="J950" s="7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1">
        <v>45720</v>
      </c>
      <c r="R950" s="1">
        <v>45724</v>
      </c>
      <c r="S950" t="s">
        <v>2924</v>
      </c>
    </row>
    <row r="951" spans="1:19" x14ac:dyDescent="0.3">
      <c r="A951" s="9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 s="5">
        <v>0</v>
      </c>
      <c r="I951" t="s">
        <v>39</v>
      </c>
      <c r="J951" s="7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1">
        <v>45709</v>
      </c>
      <c r="R951" s="1">
        <v>45717</v>
      </c>
      <c r="S951" t="s">
        <v>2924</v>
      </c>
    </row>
    <row r="952" spans="1:19" x14ac:dyDescent="0.3">
      <c r="A952" s="9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 s="5">
        <v>0</v>
      </c>
      <c r="I952" t="s">
        <v>38</v>
      </c>
      <c r="J952" s="7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1">
        <v>45714</v>
      </c>
      <c r="R952" s="1">
        <v>45716</v>
      </c>
      <c r="S952" t="s">
        <v>2922</v>
      </c>
    </row>
    <row r="953" spans="1:19" x14ac:dyDescent="0.3">
      <c r="A953" s="9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 s="5">
        <v>0</v>
      </c>
      <c r="I953" t="s">
        <v>38</v>
      </c>
      <c r="J953" s="7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1">
        <v>45380</v>
      </c>
      <c r="R953" s="1">
        <v>45388</v>
      </c>
      <c r="S953" t="s">
        <v>2922</v>
      </c>
    </row>
    <row r="954" spans="1:19" x14ac:dyDescent="0.3">
      <c r="A954" s="9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 s="5">
        <v>0</v>
      </c>
      <c r="I954" t="s">
        <v>37</v>
      </c>
      <c r="J954" s="7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1">
        <v>45805</v>
      </c>
      <c r="R954" s="1">
        <v>45809</v>
      </c>
      <c r="S954" t="s">
        <v>2926</v>
      </c>
    </row>
    <row r="955" spans="1:19" x14ac:dyDescent="0.3">
      <c r="A955" s="9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 s="5">
        <v>0</v>
      </c>
      <c r="I955" t="s">
        <v>38</v>
      </c>
      <c r="J955" s="7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1">
        <v>45436</v>
      </c>
      <c r="R955" s="1">
        <v>45442</v>
      </c>
      <c r="S955" t="s">
        <v>2926</v>
      </c>
    </row>
    <row r="956" spans="1:19" x14ac:dyDescent="0.3">
      <c r="A956" s="9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 s="5">
        <v>0.1</v>
      </c>
      <c r="I956" t="s">
        <v>39</v>
      </c>
      <c r="J956" s="7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1">
        <v>45058</v>
      </c>
      <c r="R956" s="1">
        <v>45063</v>
      </c>
      <c r="S956" t="s">
        <v>2923</v>
      </c>
    </row>
    <row r="957" spans="1:19" x14ac:dyDescent="0.3">
      <c r="A957" s="9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 s="5">
        <v>0.15</v>
      </c>
      <c r="I957" t="s">
        <v>38</v>
      </c>
      <c r="J957" s="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1">
        <v>45210</v>
      </c>
      <c r="R957" s="1">
        <v>45214</v>
      </c>
      <c r="S957" t="s">
        <v>2923</v>
      </c>
    </row>
    <row r="958" spans="1:19" x14ac:dyDescent="0.3">
      <c r="A958" s="9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 s="5">
        <v>0.15</v>
      </c>
      <c r="I958" t="s">
        <v>39</v>
      </c>
      <c r="J958" s="7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1">
        <v>45316</v>
      </c>
      <c r="R958" s="1">
        <v>45323</v>
      </c>
      <c r="S958" t="s">
        <v>2924</v>
      </c>
    </row>
    <row r="959" spans="1:19" x14ac:dyDescent="0.3">
      <c r="A959" s="9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 s="5">
        <v>0.1</v>
      </c>
      <c r="I959" t="s">
        <v>40</v>
      </c>
      <c r="J959" s="7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1">
        <v>44960</v>
      </c>
      <c r="R959" s="1">
        <v>44963</v>
      </c>
      <c r="S959" t="s">
        <v>2922</v>
      </c>
    </row>
    <row r="960" spans="1:19" x14ac:dyDescent="0.3">
      <c r="A960" s="9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 s="5">
        <v>0.1</v>
      </c>
      <c r="I960" t="s">
        <v>40</v>
      </c>
      <c r="J960" s="7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1">
        <v>45481</v>
      </c>
      <c r="R960" s="1">
        <v>45487</v>
      </c>
      <c r="S960" t="s">
        <v>2924</v>
      </c>
    </row>
    <row r="961" spans="1:19" x14ac:dyDescent="0.3">
      <c r="A961" s="9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 s="5">
        <v>0</v>
      </c>
      <c r="I961" t="s">
        <v>39</v>
      </c>
      <c r="J961" s="7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1">
        <v>45808</v>
      </c>
      <c r="R961" s="1">
        <v>45818</v>
      </c>
      <c r="S961" t="s">
        <v>2923</v>
      </c>
    </row>
    <row r="962" spans="1:19" x14ac:dyDescent="0.3">
      <c r="A962" s="9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 s="5">
        <v>0.15</v>
      </c>
      <c r="I962" t="s">
        <v>40</v>
      </c>
      <c r="J962" s="7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1">
        <v>45239</v>
      </c>
      <c r="R962" s="1">
        <v>45242</v>
      </c>
      <c r="S962" t="s">
        <v>2923</v>
      </c>
    </row>
    <row r="963" spans="1:19" x14ac:dyDescent="0.3">
      <c r="A963" s="9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 s="5">
        <v>0.1</v>
      </c>
      <c r="I963" t="s">
        <v>38</v>
      </c>
      <c r="J963" s="7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1">
        <v>45113</v>
      </c>
      <c r="R963" s="1">
        <v>45117</v>
      </c>
      <c r="S963" t="s">
        <v>2924</v>
      </c>
    </row>
    <row r="964" spans="1:19" x14ac:dyDescent="0.3">
      <c r="A964" s="9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 s="5">
        <v>0</v>
      </c>
      <c r="I964" t="s">
        <v>38</v>
      </c>
      <c r="J964" s="7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1">
        <v>45121</v>
      </c>
      <c r="R964" s="1">
        <v>45129</v>
      </c>
      <c r="S964" t="s">
        <v>2924</v>
      </c>
    </row>
    <row r="965" spans="1:19" x14ac:dyDescent="0.3">
      <c r="A965" s="9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 s="5">
        <v>0.1</v>
      </c>
      <c r="I965" t="s">
        <v>42</v>
      </c>
      <c r="J965" s="7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1">
        <v>45243</v>
      </c>
      <c r="R965" s="1">
        <v>45245</v>
      </c>
      <c r="S965" t="s">
        <v>2926</v>
      </c>
    </row>
    <row r="966" spans="1:19" x14ac:dyDescent="0.3">
      <c r="A966" s="9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 s="5">
        <v>0.05</v>
      </c>
      <c r="I966" t="s">
        <v>39</v>
      </c>
      <c r="J966" s="7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1">
        <v>45690</v>
      </c>
      <c r="R966" s="1">
        <v>45700</v>
      </c>
      <c r="S966" t="s">
        <v>2926</v>
      </c>
    </row>
    <row r="967" spans="1:19" x14ac:dyDescent="0.3">
      <c r="A967" s="9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 s="5">
        <v>0</v>
      </c>
      <c r="I967" t="s">
        <v>41</v>
      </c>
      <c r="J967" s="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1">
        <v>45418</v>
      </c>
      <c r="R967" s="1">
        <v>45427</v>
      </c>
      <c r="S967" t="s">
        <v>2923</v>
      </c>
    </row>
    <row r="968" spans="1:19" x14ac:dyDescent="0.3">
      <c r="A968" s="9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 s="5">
        <v>0.1</v>
      </c>
      <c r="I968" t="s">
        <v>37</v>
      </c>
      <c r="J968" s="7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1">
        <v>45582</v>
      </c>
      <c r="R968" s="1">
        <v>45584</v>
      </c>
      <c r="S968" t="s">
        <v>2923</v>
      </c>
    </row>
    <row r="969" spans="1:19" x14ac:dyDescent="0.3">
      <c r="A969" s="9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 s="5">
        <v>0.1</v>
      </c>
      <c r="I969" t="s">
        <v>40</v>
      </c>
      <c r="J969" s="7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1">
        <v>45686</v>
      </c>
      <c r="R969" s="1">
        <v>45693</v>
      </c>
      <c r="S969" t="s">
        <v>2924</v>
      </c>
    </row>
    <row r="970" spans="1:19" x14ac:dyDescent="0.3">
      <c r="A970" s="9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 s="5">
        <v>0</v>
      </c>
      <c r="I970" t="s">
        <v>40</v>
      </c>
      <c r="J970" s="7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1">
        <v>45739</v>
      </c>
      <c r="R970" s="1">
        <v>45745</v>
      </c>
      <c r="S970" t="s">
        <v>2925</v>
      </c>
    </row>
    <row r="971" spans="1:19" x14ac:dyDescent="0.3">
      <c r="A971" s="9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 s="5">
        <v>0</v>
      </c>
      <c r="I971" t="s">
        <v>37</v>
      </c>
      <c r="J971" s="7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1">
        <v>45393</v>
      </c>
      <c r="R971" s="1">
        <v>45402</v>
      </c>
      <c r="S971" t="s">
        <v>2926</v>
      </c>
    </row>
    <row r="972" spans="1:19" x14ac:dyDescent="0.3">
      <c r="A972" s="9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 s="5">
        <v>0.1</v>
      </c>
      <c r="I972" t="s">
        <v>37</v>
      </c>
      <c r="J972" s="7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1">
        <v>45415</v>
      </c>
      <c r="R972" s="1">
        <v>45424</v>
      </c>
      <c r="S972" t="s">
        <v>2925</v>
      </c>
    </row>
    <row r="973" spans="1:19" x14ac:dyDescent="0.3">
      <c r="A973" s="9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 s="5">
        <v>0.15</v>
      </c>
      <c r="I973" t="s">
        <v>42</v>
      </c>
      <c r="J973" s="7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1">
        <v>45579</v>
      </c>
      <c r="R973" s="1">
        <v>45586</v>
      </c>
      <c r="S973" t="s">
        <v>2922</v>
      </c>
    </row>
    <row r="974" spans="1:19" x14ac:dyDescent="0.3">
      <c r="A974" s="9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 s="5">
        <v>0.15</v>
      </c>
      <c r="I974" t="s">
        <v>41</v>
      </c>
      <c r="J974" s="7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1">
        <v>45330</v>
      </c>
      <c r="R974" s="1">
        <v>45335</v>
      </c>
      <c r="S974" t="s">
        <v>2926</v>
      </c>
    </row>
    <row r="975" spans="1:19" x14ac:dyDescent="0.3">
      <c r="A975" s="9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 s="5">
        <v>0.1</v>
      </c>
      <c r="I975" t="s">
        <v>39</v>
      </c>
      <c r="J975" s="7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1">
        <v>45056</v>
      </c>
      <c r="R975" s="1">
        <v>45059</v>
      </c>
      <c r="S975" t="s">
        <v>2925</v>
      </c>
    </row>
    <row r="976" spans="1:19" x14ac:dyDescent="0.3">
      <c r="A976" s="9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 s="5">
        <v>0.15</v>
      </c>
      <c r="I976" t="s">
        <v>42</v>
      </c>
      <c r="J976" s="7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1">
        <v>44988</v>
      </c>
      <c r="R976" s="1">
        <v>44997</v>
      </c>
      <c r="S976" t="s">
        <v>2924</v>
      </c>
    </row>
    <row r="977" spans="1:19" x14ac:dyDescent="0.3">
      <c r="A977" s="9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 s="5">
        <v>0.1</v>
      </c>
      <c r="I977" t="s">
        <v>41</v>
      </c>
      <c r="J977" s="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1">
        <v>45798</v>
      </c>
      <c r="R977" s="1">
        <v>45804</v>
      </c>
      <c r="S977" t="s">
        <v>2925</v>
      </c>
    </row>
    <row r="978" spans="1:19" x14ac:dyDescent="0.3">
      <c r="A978" s="9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 s="5">
        <v>0</v>
      </c>
      <c r="I978" t="s">
        <v>42</v>
      </c>
      <c r="J978" s="7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1">
        <v>45777</v>
      </c>
      <c r="R978" s="1">
        <v>45784</v>
      </c>
      <c r="S978" t="s">
        <v>2925</v>
      </c>
    </row>
    <row r="979" spans="1:19" x14ac:dyDescent="0.3">
      <c r="A979" s="9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 s="5">
        <v>0.15</v>
      </c>
      <c r="I979" t="s">
        <v>42</v>
      </c>
      <c r="J979" s="7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1">
        <v>45018</v>
      </c>
      <c r="R979" s="1">
        <v>45020</v>
      </c>
      <c r="S979" t="s">
        <v>2924</v>
      </c>
    </row>
    <row r="980" spans="1:19" x14ac:dyDescent="0.3">
      <c r="A980" s="9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 s="5">
        <v>0.05</v>
      </c>
      <c r="I980" t="s">
        <v>42</v>
      </c>
      <c r="J980" s="7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1">
        <v>45530</v>
      </c>
      <c r="R980" s="1">
        <v>45540</v>
      </c>
      <c r="S980" t="s">
        <v>2924</v>
      </c>
    </row>
    <row r="981" spans="1:19" x14ac:dyDescent="0.3">
      <c r="A981" s="9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 s="5">
        <v>0.15</v>
      </c>
      <c r="I981" t="s">
        <v>40</v>
      </c>
      <c r="J981" s="7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1">
        <v>45240</v>
      </c>
      <c r="R981" s="1">
        <v>45250</v>
      </c>
      <c r="S981" t="s">
        <v>2923</v>
      </c>
    </row>
    <row r="982" spans="1:19" x14ac:dyDescent="0.3">
      <c r="A982" s="9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 s="5">
        <v>0</v>
      </c>
      <c r="I982" t="s">
        <v>39</v>
      </c>
      <c r="J982" s="7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1">
        <v>45684</v>
      </c>
      <c r="R982" s="1">
        <v>45690</v>
      </c>
      <c r="S982" t="s">
        <v>2925</v>
      </c>
    </row>
    <row r="983" spans="1:19" x14ac:dyDescent="0.3">
      <c r="A983" s="9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 s="5">
        <v>0</v>
      </c>
      <c r="I983" t="s">
        <v>40</v>
      </c>
      <c r="J983" s="7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1">
        <v>45408</v>
      </c>
      <c r="R983" s="1">
        <v>45412</v>
      </c>
      <c r="S983" t="s">
        <v>2923</v>
      </c>
    </row>
    <row r="984" spans="1:19" x14ac:dyDescent="0.3">
      <c r="A984" s="9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 s="5">
        <v>0</v>
      </c>
      <c r="I984" t="s">
        <v>38</v>
      </c>
      <c r="J984" s="7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1">
        <v>45257</v>
      </c>
      <c r="R984" s="1">
        <v>45261</v>
      </c>
      <c r="S984" t="s">
        <v>2922</v>
      </c>
    </row>
    <row r="985" spans="1:19" x14ac:dyDescent="0.3">
      <c r="A985" s="9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 s="5">
        <v>0.15</v>
      </c>
      <c r="I985" t="s">
        <v>40</v>
      </c>
      <c r="J985" s="7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1">
        <v>45015</v>
      </c>
      <c r="R985" s="1">
        <v>45022</v>
      </c>
      <c r="S985" t="s">
        <v>2925</v>
      </c>
    </row>
    <row r="986" spans="1:19" x14ac:dyDescent="0.3">
      <c r="A986" s="9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 s="5">
        <v>0</v>
      </c>
      <c r="I986" t="s">
        <v>42</v>
      </c>
      <c r="J986" s="7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1">
        <v>45355</v>
      </c>
      <c r="R986" s="1">
        <v>45362</v>
      </c>
      <c r="S986" t="s">
        <v>2924</v>
      </c>
    </row>
    <row r="987" spans="1:19" x14ac:dyDescent="0.3">
      <c r="A987" s="9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 s="5">
        <v>0.1</v>
      </c>
      <c r="I987" t="s">
        <v>42</v>
      </c>
      <c r="J987" s="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1">
        <v>45118</v>
      </c>
      <c r="R987" s="1">
        <v>45122</v>
      </c>
      <c r="S987" t="s">
        <v>2923</v>
      </c>
    </row>
    <row r="988" spans="1:19" x14ac:dyDescent="0.3">
      <c r="A988" s="9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 s="5">
        <v>0</v>
      </c>
      <c r="I988" t="s">
        <v>40</v>
      </c>
      <c r="J988" s="7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1">
        <v>45555</v>
      </c>
      <c r="R988" s="1">
        <v>45564</v>
      </c>
      <c r="S988" t="s">
        <v>2926</v>
      </c>
    </row>
    <row r="989" spans="1:19" x14ac:dyDescent="0.3">
      <c r="A989" s="9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 s="5">
        <v>0.1</v>
      </c>
      <c r="I989" t="s">
        <v>37</v>
      </c>
      <c r="J989" s="7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1">
        <v>45706</v>
      </c>
      <c r="R989" s="1">
        <v>45712</v>
      </c>
      <c r="S989" t="s">
        <v>2926</v>
      </c>
    </row>
    <row r="990" spans="1:19" x14ac:dyDescent="0.3">
      <c r="A990" s="9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 s="5">
        <v>0.15</v>
      </c>
      <c r="I990" t="s">
        <v>40</v>
      </c>
      <c r="J990" s="7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1">
        <v>45489</v>
      </c>
      <c r="R990" s="1">
        <v>45493</v>
      </c>
      <c r="S990" t="s">
        <v>2922</v>
      </c>
    </row>
    <row r="991" spans="1:19" x14ac:dyDescent="0.3">
      <c r="A991" s="9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 s="5">
        <v>0.1</v>
      </c>
      <c r="I991" t="s">
        <v>39</v>
      </c>
      <c r="J991" s="7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1">
        <v>45253</v>
      </c>
      <c r="R991" s="1">
        <v>45255</v>
      </c>
      <c r="S991" t="s">
        <v>2922</v>
      </c>
    </row>
    <row r="992" spans="1:19" x14ac:dyDescent="0.3">
      <c r="A992" s="9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 s="5">
        <v>0.1</v>
      </c>
      <c r="I992" t="s">
        <v>37</v>
      </c>
      <c r="J992" s="7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1">
        <v>45176</v>
      </c>
      <c r="R992" s="1">
        <v>45178</v>
      </c>
      <c r="S992" t="s">
        <v>2923</v>
      </c>
    </row>
    <row r="993" spans="1:19" x14ac:dyDescent="0.3">
      <c r="A993" s="9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 s="5">
        <v>0.15</v>
      </c>
      <c r="I993" t="s">
        <v>40</v>
      </c>
      <c r="J993" s="7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1">
        <v>45323</v>
      </c>
      <c r="R993" s="1">
        <v>45326</v>
      </c>
      <c r="S993" t="s">
        <v>2926</v>
      </c>
    </row>
    <row r="994" spans="1:19" x14ac:dyDescent="0.3">
      <c r="A994" s="9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 s="5">
        <v>0.1</v>
      </c>
      <c r="I994" t="s">
        <v>38</v>
      </c>
      <c r="J994" s="7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1">
        <v>45785</v>
      </c>
      <c r="R994" s="1">
        <v>45789</v>
      </c>
      <c r="S994" t="s">
        <v>2923</v>
      </c>
    </row>
    <row r="995" spans="1:19" x14ac:dyDescent="0.3">
      <c r="A995" s="9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 s="5">
        <v>0</v>
      </c>
      <c r="I995" t="s">
        <v>38</v>
      </c>
      <c r="J995" s="7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1">
        <v>45674</v>
      </c>
      <c r="R995" s="1">
        <v>45681</v>
      </c>
      <c r="S995" t="s">
        <v>2924</v>
      </c>
    </row>
    <row r="996" spans="1:19" x14ac:dyDescent="0.3">
      <c r="A996" s="9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 s="5">
        <v>0</v>
      </c>
      <c r="I996" t="s">
        <v>40</v>
      </c>
      <c r="J996" s="7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1">
        <v>45171</v>
      </c>
      <c r="R996" s="1">
        <v>45177</v>
      </c>
      <c r="S996" t="s">
        <v>2922</v>
      </c>
    </row>
    <row r="997" spans="1:19" x14ac:dyDescent="0.3">
      <c r="A997" s="9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 s="5">
        <v>0</v>
      </c>
      <c r="I997" t="s">
        <v>42</v>
      </c>
      <c r="J997" s="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1">
        <v>45100</v>
      </c>
      <c r="R997" s="1">
        <v>45108</v>
      </c>
      <c r="S997" t="s">
        <v>2925</v>
      </c>
    </row>
    <row r="998" spans="1:19" x14ac:dyDescent="0.3">
      <c r="A998" s="9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 s="5">
        <v>0.1</v>
      </c>
      <c r="I998" t="s">
        <v>42</v>
      </c>
      <c r="J998" s="7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1">
        <v>45311</v>
      </c>
      <c r="R998" s="1">
        <v>45317</v>
      </c>
      <c r="S998" t="s">
        <v>2922</v>
      </c>
    </row>
    <row r="999" spans="1:19" x14ac:dyDescent="0.3">
      <c r="A999" s="9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 s="5">
        <v>0.05</v>
      </c>
      <c r="I999" t="s">
        <v>37</v>
      </c>
      <c r="J999" s="7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1">
        <v>45469</v>
      </c>
      <c r="R999" s="1">
        <v>45479</v>
      </c>
      <c r="S999" t="s">
        <v>2922</v>
      </c>
    </row>
    <row r="1000" spans="1:19" x14ac:dyDescent="0.3">
      <c r="A1000" s="9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 s="5">
        <v>0.1</v>
      </c>
      <c r="I1000" t="s">
        <v>40</v>
      </c>
      <c r="J1000" s="7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1">
        <v>45638</v>
      </c>
      <c r="R1000" s="1">
        <v>45643</v>
      </c>
      <c r="S1000" t="s">
        <v>2925</v>
      </c>
    </row>
    <row r="1001" spans="1:19" x14ac:dyDescent="0.3">
      <c r="A1001" s="9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 s="5">
        <v>0.05</v>
      </c>
      <c r="I1001" t="s">
        <v>39</v>
      </c>
      <c r="J1001" s="7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1">
        <v>45343</v>
      </c>
      <c r="R1001" s="1">
        <v>45352</v>
      </c>
      <c r="S1001" t="s">
        <v>2922</v>
      </c>
    </row>
    <row r="1002" spans="1:19" x14ac:dyDescent="0.3">
      <c r="A1002" s="9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 s="5">
        <v>0</v>
      </c>
      <c r="I1002" t="s">
        <v>37</v>
      </c>
      <c r="J1002" s="7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1">
        <v>45125</v>
      </c>
      <c r="R1002" s="1">
        <v>45132</v>
      </c>
      <c r="S1002" t="s">
        <v>2922</v>
      </c>
    </row>
    <row r="1003" spans="1:19" x14ac:dyDescent="0.3">
      <c r="A1003" s="9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 s="5">
        <v>0</v>
      </c>
      <c r="I1003" t="s">
        <v>38</v>
      </c>
      <c r="J1003" s="7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1">
        <v>45567</v>
      </c>
      <c r="R1003" s="1">
        <v>45571</v>
      </c>
      <c r="S1003" t="s">
        <v>2924</v>
      </c>
    </row>
    <row r="1004" spans="1:19" x14ac:dyDescent="0.3">
      <c r="A1004" s="9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 s="5">
        <v>0.15</v>
      </c>
      <c r="I1004" t="s">
        <v>41</v>
      </c>
      <c r="J1004" s="7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1">
        <v>45627</v>
      </c>
      <c r="R1004" s="1">
        <v>45630</v>
      </c>
      <c r="S1004" t="s">
        <v>2926</v>
      </c>
    </row>
    <row r="1005" spans="1:19" x14ac:dyDescent="0.3">
      <c r="A1005" s="9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 s="5">
        <v>0.15</v>
      </c>
      <c r="I1005" t="s">
        <v>39</v>
      </c>
      <c r="J1005" s="7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1">
        <v>45538</v>
      </c>
      <c r="R1005" s="1">
        <v>45547</v>
      </c>
      <c r="S1005" t="s">
        <v>2922</v>
      </c>
    </row>
    <row r="1006" spans="1:19" x14ac:dyDescent="0.3">
      <c r="A1006" s="9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 s="5">
        <v>0.15</v>
      </c>
      <c r="I1006" t="s">
        <v>42</v>
      </c>
      <c r="J1006" s="7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1">
        <v>45710</v>
      </c>
      <c r="R1006" s="1">
        <v>45717</v>
      </c>
      <c r="S1006" t="s">
        <v>2926</v>
      </c>
    </row>
    <row r="1007" spans="1:19" x14ac:dyDescent="0.3">
      <c r="A1007" s="9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 s="5">
        <v>0.15</v>
      </c>
      <c r="I1007" t="s">
        <v>37</v>
      </c>
      <c r="J1007" s="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1">
        <v>45788</v>
      </c>
      <c r="R1007" s="1">
        <v>45790</v>
      </c>
      <c r="S1007" t="s">
        <v>2926</v>
      </c>
    </row>
    <row r="1008" spans="1:19" x14ac:dyDescent="0.3">
      <c r="A1008" s="9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 s="5">
        <v>0</v>
      </c>
      <c r="I1008" t="s">
        <v>37</v>
      </c>
      <c r="J1008" s="7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1">
        <v>45646</v>
      </c>
      <c r="R1008" s="1">
        <v>45655</v>
      </c>
      <c r="S1008" t="s">
        <v>2925</v>
      </c>
    </row>
    <row r="1009" spans="1:19" x14ac:dyDescent="0.3">
      <c r="A1009" s="9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 s="5">
        <v>0.05</v>
      </c>
      <c r="I1009" t="s">
        <v>38</v>
      </c>
      <c r="J1009" s="7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1">
        <v>45034</v>
      </c>
      <c r="R1009" s="1">
        <v>45037</v>
      </c>
      <c r="S1009" t="s">
        <v>2922</v>
      </c>
    </row>
    <row r="1010" spans="1:19" x14ac:dyDescent="0.3">
      <c r="A1010" s="9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 s="5">
        <v>0.1</v>
      </c>
      <c r="I1010" t="s">
        <v>38</v>
      </c>
      <c r="J1010" s="7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1">
        <v>45533</v>
      </c>
      <c r="R1010" s="1">
        <v>45538</v>
      </c>
      <c r="S1010" t="s">
        <v>2922</v>
      </c>
    </row>
    <row r="1011" spans="1:19" x14ac:dyDescent="0.3">
      <c r="A1011" s="9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 s="5">
        <v>0.05</v>
      </c>
      <c r="I1011" t="s">
        <v>39</v>
      </c>
      <c r="J1011" s="7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1">
        <v>45172</v>
      </c>
      <c r="R1011" s="1">
        <v>45179</v>
      </c>
      <c r="S1011" t="s">
        <v>2924</v>
      </c>
    </row>
    <row r="1012" spans="1:19" x14ac:dyDescent="0.3">
      <c r="A1012" s="9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 s="5">
        <v>0</v>
      </c>
      <c r="I1012" t="s">
        <v>38</v>
      </c>
      <c r="J1012" s="7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1">
        <v>45796</v>
      </c>
      <c r="R1012" s="1">
        <v>45801</v>
      </c>
      <c r="S1012" t="s">
        <v>2922</v>
      </c>
    </row>
    <row r="1013" spans="1:19" x14ac:dyDescent="0.3">
      <c r="A1013" s="9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 s="5">
        <v>0.1</v>
      </c>
      <c r="I1013" t="s">
        <v>37</v>
      </c>
      <c r="J1013" s="7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1">
        <v>45095</v>
      </c>
      <c r="R1013" s="1">
        <v>45103</v>
      </c>
      <c r="S1013" t="s">
        <v>2922</v>
      </c>
    </row>
    <row r="1014" spans="1:19" x14ac:dyDescent="0.3">
      <c r="A1014" s="9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 s="5">
        <v>0.1</v>
      </c>
      <c r="I1014" t="s">
        <v>37</v>
      </c>
      <c r="J1014" s="7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1">
        <v>45826</v>
      </c>
      <c r="R1014" s="1">
        <v>45830</v>
      </c>
      <c r="S1014" t="s">
        <v>2926</v>
      </c>
    </row>
    <row r="1015" spans="1:19" x14ac:dyDescent="0.3">
      <c r="A1015" s="9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 s="5">
        <v>0.05</v>
      </c>
      <c r="I1015" t="s">
        <v>38</v>
      </c>
      <c r="J1015" s="7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1">
        <v>45564</v>
      </c>
      <c r="R1015" s="1">
        <v>45572</v>
      </c>
      <c r="S1015" t="s">
        <v>2923</v>
      </c>
    </row>
    <row r="1016" spans="1:19" x14ac:dyDescent="0.3">
      <c r="A1016" s="9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 s="5">
        <v>0.15</v>
      </c>
      <c r="I1016" t="s">
        <v>39</v>
      </c>
      <c r="J1016" s="7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1">
        <v>45347</v>
      </c>
      <c r="R1016" s="1">
        <v>45355</v>
      </c>
      <c r="S1016" t="s">
        <v>2922</v>
      </c>
    </row>
    <row r="1017" spans="1:19" x14ac:dyDescent="0.3">
      <c r="A1017" s="9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 s="5">
        <v>0.05</v>
      </c>
      <c r="I1017" t="s">
        <v>38</v>
      </c>
      <c r="J1017" s="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1">
        <v>45372</v>
      </c>
      <c r="R1017" s="1">
        <v>45381</v>
      </c>
      <c r="S1017" t="s">
        <v>2924</v>
      </c>
    </row>
    <row r="1018" spans="1:19" x14ac:dyDescent="0.3">
      <c r="A1018" s="9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 s="5">
        <v>0.1</v>
      </c>
      <c r="I1018" t="s">
        <v>41</v>
      </c>
      <c r="J1018" s="7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1">
        <v>45325</v>
      </c>
      <c r="R1018" s="1">
        <v>45331</v>
      </c>
      <c r="S1018" t="s">
        <v>2924</v>
      </c>
    </row>
    <row r="1019" spans="1:19" x14ac:dyDescent="0.3">
      <c r="A1019" s="9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 s="5">
        <v>0.1</v>
      </c>
      <c r="I1019" t="s">
        <v>39</v>
      </c>
      <c r="J1019" s="7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1">
        <v>45251</v>
      </c>
      <c r="R1019" s="1">
        <v>45254</v>
      </c>
      <c r="S1019" t="s">
        <v>2923</v>
      </c>
    </row>
    <row r="1020" spans="1:19" x14ac:dyDescent="0.3">
      <c r="A1020" s="9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 s="5">
        <v>0</v>
      </c>
      <c r="I1020" t="s">
        <v>37</v>
      </c>
      <c r="J1020" s="7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1">
        <v>44936</v>
      </c>
      <c r="R1020" s="1">
        <v>44944</v>
      </c>
      <c r="S1020" t="s">
        <v>2926</v>
      </c>
    </row>
    <row r="1021" spans="1:19" x14ac:dyDescent="0.3">
      <c r="A1021" s="9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 s="5">
        <v>0</v>
      </c>
      <c r="I1021" t="s">
        <v>42</v>
      </c>
      <c r="J1021" s="7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1">
        <v>44963</v>
      </c>
      <c r="R1021" s="1">
        <v>44967</v>
      </c>
      <c r="S1021" t="s">
        <v>2925</v>
      </c>
    </row>
    <row r="1022" spans="1:19" x14ac:dyDescent="0.3">
      <c r="A1022" s="9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 s="5">
        <v>0</v>
      </c>
      <c r="I1022" t="s">
        <v>37</v>
      </c>
      <c r="J1022" s="7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1">
        <v>45757</v>
      </c>
      <c r="R1022" s="1">
        <v>45767</v>
      </c>
      <c r="S1022" t="s">
        <v>2924</v>
      </c>
    </row>
    <row r="1023" spans="1:19" x14ac:dyDescent="0.3">
      <c r="A1023" s="9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 s="5">
        <v>0.05</v>
      </c>
      <c r="I1023" t="s">
        <v>40</v>
      </c>
      <c r="J1023" s="7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1">
        <v>45336</v>
      </c>
      <c r="R1023" s="1">
        <v>45343</v>
      </c>
      <c r="S1023" t="s">
        <v>2922</v>
      </c>
    </row>
    <row r="1024" spans="1:19" x14ac:dyDescent="0.3">
      <c r="A1024" s="9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 s="5">
        <v>0.1</v>
      </c>
      <c r="I1024" t="s">
        <v>40</v>
      </c>
      <c r="J1024" s="7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1">
        <v>45803</v>
      </c>
      <c r="R1024" s="1">
        <v>45806</v>
      </c>
      <c r="S1024" t="s">
        <v>2922</v>
      </c>
    </row>
    <row r="1025" spans="1:19" x14ac:dyDescent="0.3">
      <c r="A1025" s="9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 s="5">
        <v>0.15</v>
      </c>
      <c r="I1025" t="s">
        <v>37</v>
      </c>
      <c r="J1025" s="7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1">
        <v>45181</v>
      </c>
      <c r="R1025" s="1">
        <v>45188</v>
      </c>
      <c r="S1025" t="s">
        <v>2926</v>
      </c>
    </row>
    <row r="1026" spans="1:19" x14ac:dyDescent="0.3">
      <c r="A1026" s="9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 s="5">
        <v>0.15</v>
      </c>
      <c r="I1026" t="s">
        <v>38</v>
      </c>
      <c r="J1026" s="7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1">
        <v>45063</v>
      </c>
      <c r="R1026" s="1">
        <v>45072</v>
      </c>
      <c r="S1026" t="s">
        <v>2922</v>
      </c>
    </row>
    <row r="1027" spans="1:19" x14ac:dyDescent="0.3">
      <c r="A1027" s="9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 s="5">
        <v>0.05</v>
      </c>
      <c r="I1027" t="s">
        <v>40</v>
      </c>
      <c r="J1027" s="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1">
        <v>45320</v>
      </c>
      <c r="R1027" s="1">
        <v>45322</v>
      </c>
      <c r="S1027" t="s">
        <v>2926</v>
      </c>
    </row>
    <row r="1028" spans="1:19" x14ac:dyDescent="0.3">
      <c r="A1028" s="9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 s="5">
        <v>0.05</v>
      </c>
      <c r="I1028" t="s">
        <v>41</v>
      </c>
      <c r="J1028" s="7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1">
        <v>45786</v>
      </c>
      <c r="R1028" s="1">
        <v>45795</v>
      </c>
      <c r="S1028" t="s">
        <v>2924</v>
      </c>
    </row>
    <row r="1029" spans="1:19" x14ac:dyDescent="0.3">
      <c r="A1029" s="9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 s="5">
        <v>0</v>
      </c>
      <c r="I1029" t="s">
        <v>37</v>
      </c>
      <c r="J1029" s="7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1">
        <v>45387</v>
      </c>
      <c r="R1029" s="1">
        <v>45391</v>
      </c>
      <c r="S1029" t="s">
        <v>2922</v>
      </c>
    </row>
    <row r="1030" spans="1:19" x14ac:dyDescent="0.3">
      <c r="A1030" s="9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 s="5">
        <v>0.15</v>
      </c>
      <c r="I1030" t="s">
        <v>37</v>
      </c>
      <c r="J1030" s="7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1">
        <v>45505</v>
      </c>
      <c r="R1030" s="1">
        <v>45514</v>
      </c>
      <c r="S1030" t="s">
        <v>2923</v>
      </c>
    </row>
    <row r="1031" spans="1:19" x14ac:dyDescent="0.3">
      <c r="A1031" s="9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 s="5">
        <v>0</v>
      </c>
      <c r="I1031" t="s">
        <v>42</v>
      </c>
      <c r="J1031" s="7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1">
        <v>45483</v>
      </c>
      <c r="R1031" s="1">
        <v>45485</v>
      </c>
      <c r="S1031" t="s">
        <v>2923</v>
      </c>
    </row>
    <row r="1032" spans="1:19" x14ac:dyDescent="0.3">
      <c r="A1032" s="9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 s="5">
        <v>0.1</v>
      </c>
      <c r="I1032" t="s">
        <v>38</v>
      </c>
      <c r="J1032" s="7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1">
        <v>45458</v>
      </c>
      <c r="R1032" s="1">
        <v>45463</v>
      </c>
      <c r="S1032" t="s">
        <v>2922</v>
      </c>
    </row>
    <row r="1033" spans="1:19" x14ac:dyDescent="0.3">
      <c r="A1033" s="9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 s="5">
        <v>0.15</v>
      </c>
      <c r="I1033" t="s">
        <v>38</v>
      </c>
      <c r="J1033" s="7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1">
        <v>45434</v>
      </c>
      <c r="R1033" s="1">
        <v>45441</v>
      </c>
      <c r="S1033" t="s">
        <v>2922</v>
      </c>
    </row>
    <row r="1034" spans="1:19" x14ac:dyDescent="0.3">
      <c r="A1034" s="9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 s="5">
        <v>0.05</v>
      </c>
      <c r="I1034" t="s">
        <v>41</v>
      </c>
      <c r="J1034" s="7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1">
        <v>45305</v>
      </c>
      <c r="R1034" s="1">
        <v>45309</v>
      </c>
      <c r="S1034" t="s">
        <v>2922</v>
      </c>
    </row>
    <row r="1035" spans="1:19" x14ac:dyDescent="0.3">
      <c r="A1035" s="9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 s="5">
        <v>0.05</v>
      </c>
      <c r="I1035" t="s">
        <v>40</v>
      </c>
      <c r="J1035" s="7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1">
        <v>45596</v>
      </c>
      <c r="R1035" s="1">
        <v>45598</v>
      </c>
      <c r="S1035" t="s">
        <v>2924</v>
      </c>
    </row>
    <row r="1036" spans="1:19" x14ac:dyDescent="0.3">
      <c r="A1036" s="9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 s="5">
        <v>0.1</v>
      </c>
      <c r="I1036" t="s">
        <v>40</v>
      </c>
      <c r="J1036" s="7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1">
        <v>45405</v>
      </c>
      <c r="R1036" s="1">
        <v>45411</v>
      </c>
      <c r="S1036" t="s">
        <v>2926</v>
      </c>
    </row>
    <row r="1037" spans="1:19" x14ac:dyDescent="0.3">
      <c r="A1037" s="9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 s="5">
        <v>0.05</v>
      </c>
      <c r="I1037" t="s">
        <v>39</v>
      </c>
      <c r="J1037" s="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1">
        <v>45091</v>
      </c>
      <c r="R1037" s="1">
        <v>45097</v>
      </c>
      <c r="S1037" t="s">
        <v>2923</v>
      </c>
    </row>
    <row r="1038" spans="1:19" x14ac:dyDescent="0.3">
      <c r="A1038" s="9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 s="5">
        <v>0.05</v>
      </c>
      <c r="I1038" t="s">
        <v>39</v>
      </c>
      <c r="J1038" s="7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1">
        <v>45350</v>
      </c>
      <c r="R1038" s="1">
        <v>45353</v>
      </c>
      <c r="S1038" t="s">
        <v>2924</v>
      </c>
    </row>
    <row r="1039" spans="1:19" x14ac:dyDescent="0.3">
      <c r="A1039" s="9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 s="5">
        <v>0.05</v>
      </c>
      <c r="I1039" t="s">
        <v>41</v>
      </c>
      <c r="J1039" s="7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1">
        <v>45462</v>
      </c>
      <c r="R1039" s="1">
        <v>45469</v>
      </c>
      <c r="S1039" t="s">
        <v>2923</v>
      </c>
    </row>
    <row r="1040" spans="1:19" x14ac:dyDescent="0.3">
      <c r="A1040" s="9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 s="5">
        <v>0.05</v>
      </c>
      <c r="I1040" t="s">
        <v>40</v>
      </c>
      <c r="J1040" s="7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1">
        <v>45003</v>
      </c>
      <c r="R1040" s="1">
        <v>45005</v>
      </c>
      <c r="S1040" t="s">
        <v>2925</v>
      </c>
    </row>
    <row r="1041" spans="1:19" x14ac:dyDescent="0.3">
      <c r="A1041" s="9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 s="5">
        <v>0.1</v>
      </c>
      <c r="I1041" t="s">
        <v>38</v>
      </c>
      <c r="J1041" s="7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1">
        <v>45006</v>
      </c>
      <c r="R1041" s="1">
        <v>45016</v>
      </c>
      <c r="S1041" t="s">
        <v>2926</v>
      </c>
    </row>
    <row r="1042" spans="1:19" x14ac:dyDescent="0.3">
      <c r="A1042" s="9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 s="5">
        <v>0.1</v>
      </c>
      <c r="I1042" t="s">
        <v>37</v>
      </c>
      <c r="J1042" s="7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1">
        <v>45440</v>
      </c>
      <c r="R1042" s="1">
        <v>45444</v>
      </c>
      <c r="S1042" t="s">
        <v>2922</v>
      </c>
    </row>
    <row r="1043" spans="1:19" x14ac:dyDescent="0.3">
      <c r="A1043" s="9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 s="5">
        <v>0</v>
      </c>
      <c r="I1043" t="s">
        <v>37</v>
      </c>
      <c r="J1043" s="7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1">
        <v>45012</v>
      </c>
      <c r="R1043" s="1">
        <v>45015</v>
      </c>
      <c r="S1043" t="s">
        <v>2926</v>
      </c>
    </row>
    <row r="1044" spans="1:19" x14ac:dyDescent="0.3">
      <c r="A1044" s="9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 s="5">
        <v>0</v>
      </c>
      <c r="I1044" t="s">
        <v>37</v>
      </c>
      <c r="J1044" s="7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1">
        <v>45096</v>
      </c>
      <c r="R1044" s="1">
        <v>45102</v>
      </c>
      <c r="S1044" t="s">
        <v>2925</v>
      </c>
    </row>
    <row r="1045" spans="1:19" x14ac:dyDescent="0.3">
      <c r="A1045" s="9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 s="5">
        <v>0.05</v>
      </c>
      <c r="I1045" t="s">
        <v>42</v>
      </c>
      <c r="J1045" s="7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1">
        <v>45230</v>
      </c>
      <c r="R1045" s="1">
        <v>45237</v>
      </c>
      <c r="S1045" t="s">
        <v>2923</v>
      </c>
    </row>
    <row r="1046" spans="1:19" x14ac:dyDescent="0.3">
      <c r="A1046" s="9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 s="5">
        <v>0.1</v>
      </c>
      <c r="I1046" t="s">
        <v>38</v>
      </c>
      <c r="J1046" s="7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1">
        <v>45118</v>
      </c>
      <c r="R1046" s="1">
        <v>45125</v>
      </c>
      <c r="S1046" t="s">
        <v>2926</v>
      </c>
    </row>
    <row r="1047" spans="1:19" x14ac:dyDescent="0.3">
      <c r="A1047" s="9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 s="5">
        <v>0.05</v>
      </c>
      <c r="I1047" t="s">
        <v>42</v>
      </c>
      <c r="J1047" s="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1">
        <v>45065</v>
      </c>
      <c r="R1047" s="1">
        <v>45074</v>
      </c>
      <c r="S1047" t="s">
        <v>2923</v>
      </c>
    </row>
    <row r="1048" spans="1:19" x14ac:dyDescent="0.3">
      <c r="A1048" s="9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 s="5">
        <v>0</v>
      </c>
      <c r="I1048" t="s">
        <v>39</v>
      </c>
      <c r="J1048" s="7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1">
        <v>45143</v>
      </c>
      <c r="R1048" s="1">
        <v>45148</v>
      </c>
      <c r="S1048" t="s">
        <v>2924</v>
      </c>
    </row>
    <row r="1049" spans="1:19" x14ac:dyDescent="0.3">
      <c r="A1049" s="9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 s="5">
        <v>0.1</v>
      </c>
      <c r="I1049" t="s">
        <v>39</v>
      </c>
      <c r="J1049" s="7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1">
        <v>45009</v>
      </c>
      <c r="R1049" s="1">
        <v>45019</v>
      </c>
      <c r="S1049" t="s">
        <v>2926</v>
      </c>
    </row>
    <row r="1050" spans="1:19" x14ac:dyDescent="0.3">
      <c r="A1050" s="9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 s="5">
        <v>0.05</v>
      </c>
      <c r="I1050" t="s">
        <v>41</v>
      </c>
      <c r="J1050" s="7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1">
        <v>45702</v>
      </c>
      <c r="R1050" s="1">
        <v>45705</v>
      </c>
      <c r="S1050" t="s">
        <v>2926</v>
      </c>
    </row>
    <row r="1051" spans="1:19" x14ac:dyDescent="0.3">
      <c r="A1051" s="9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 s="5">
        <v>0</v>
      </c>
      <c r="I1051" t="s">
        <v>42</v>
      </c>
      <c r="J1051" s="7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1">
        <v>45640</v>
      </c>
      <c r="R1051" s="1">
        <v>45642</v>
      </c>
      <c r="S1051" t="s">
        <v>2924</v>
      </c>
    </row>
    <row r="1052" spans="1:19" x14ac:dyDescent="0.3">
      <c r="A1052" s="9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 s="5">
        <v>0</v>
      </c>
      <c r="I1052" t="s">
        <v>42</v>
      </c>
      <c r="J1052" s="7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1">
        <v>45105</v>
      </c>
      <c r="R1052" s="1">
        <v>45108</v>
      </c>
      <c r="S1052" t="s">
        <v>2923</v>
      </c>
    </row>
    <row r="1053" spans="1:19" x14ac:dyDescent="0.3">
      <c r="A1053" s="9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 s="5">
        <v>0.1</v>
      </c>
      <c r="I1053" t="s">
        <v>41</v>
      </c>
      <c r="J1053" s="7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1">
        <v>44950</v>
      </c>
      <c r="R1053" s="1">
        <v>44954</v>
      </c>
      <c r="S1053" t="s">
        <v>2926</v>
      </c>
    </row>
    <row r="1054" spans="1:19" x14ac:dyDescent="0.3">
      <c r="A1054" s="9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 s="5">
        <v>0.05</v>
      </c>
      <c r="I1054" t="s">
        <v>37</v>
      </c>
      <c r="J1054" s="7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1">
        <v>45464</v>
      </c>
      <c r="R1054" s="1">
        <v>45473</v>
      </c>
      <c r="S1054" t="s">
        <v>2925</v>
      </c>
    </row>
    <row r="1055" spans="1:19" x14ac:dyDescent="0.3">
      <c r="A1055" s="9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 s="5">
        <v>0.1</v>
      </c>
      <c r="I1055" t="s">
        <v>42</v>
      </c>
      <c r="J1055" s="7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1">
        <v>45756</v>
      </c>
      <c r="R1055" s="1">
        <v>45765</v>
      </c>
      <c r="S1055" t="s">
        <v>2924</v>
      </c>
    </row>
    <row r="1056" spans="1:19" x14ac:dyDescent="0.3">
      <c r="A1056" s="9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 s="5">
        <v>0.1</v>
      </c>
      <c r="I1056" t="s">
        <v>37</v>
      </c>
      <c r="J1056" s="7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1">
        <v>45668</v>
      </c>
      <c r="R1056" s="1">
        <v>45676</v>
      </c>
      <c r="S1056" t="s">
        <v>2924</v>
      </c>
    </row>
    <row r="1057" spans="1:19" x14ac:dyDescent="0.3">
      <c r="A1057" s="9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 s="5">
        <v>0.05</v>
      </c>
      <c r="I1057" t="s">
        <v>40</v>
      </c>
      <c r="J1057" s="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1">
        <v>45486</v>
      </c>
      <c r="R1057" s="1">
        <v>45493</v>
      </c>
      <c r="S1057" t="s">
        <v>2925</v>
      </c>
    </row>
    <row r="1058" spans="1:19" x14ac:dyDescent="0.3">
      <c r="A1058" s="9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 s="5">
        <v>0.05</v>
      </c>
      <c r="I1058" t="s">
        <v>40</v>
      </c>
      <c r="J1058" s="7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1">
        <v>45661</v>
      </c>
      <c r="R1058" s="1">
        <v>45667</v>
      </c>
      <c r="S1058" t="s">
        <v>2926</v>
      </c>
    </row>
    <row r="1059" spans="1:19" x14ac:dyDescent="0.3">
      <c r="A1059" s="9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 s="5">
        <v>0.15</v>
      </c>
      <c r="I1059" t="s">
        <v>39</v>
      </c>
      <c r="J1059" s="7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1">
        <v>45224</v>
      </c>
      <c r="R1059" s="1">
        <v>45230</v>
      </c>
      <c r="S1059" t="s">
        <v>2926</v>
      </c>
    </row>
    <row r="1060" spans="1:19" x14ac:dyDescent="0.3">
      <c r="A1060" s="9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 s="5">
        <v>0.15</v>
      </c>
      <c r="I1060" t="s">
        <v>41</v>
      </c>
      <c r="J1060" s="7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1">
        <v>45199</v>
      </c>
      <c r="R1060" s="1">
        <v>45201</v>
      </c>
      <c r="S1060" t="s">
        <v>2923</v>
      </c>
    </row>
    <row r="1061" spans="1:19" x14ac:dyDescent="0.3">
      <c r="A1061" s="9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 s="5">
        <v>0</v>
      </c>
      <c r="I1061" t="s">
        <v>41</v>
      </c>
      <c r="J1061" s="7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1">
        <v>45001</v>
      </c>
      <c r="R1061" s="1">
        <v>45011</v>
      </c>
      <c r="S1061" t="s">
        <v>2924</v>
      </c>
    </row>
    <row r="1062" spans="1:19" x14ac:dyDescent="0.3">
      <c r="A1062" s="9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 s="5">
        <v>0.1</v>
      </c>
      <c r="I1062" t="s">
        <v>42</v>
      </c>
      <c r="J1062" s="7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1">
        <v>45133</v>
      </c>
      <c r="R1062" s="1">
        <v>45140</v>
      </c>
      <c r="S1062" t="s">
        <v>2924</v>
      </c>
    </row>
    <row r="1063" spans="1:19" x14ac:dyDescent="0.3">
      <c r="A1063" s="9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 s="5">
        <v>0.05</v>
      </c>
      <c r="I1063" t="s">
        <v>41</v>
      </c>
      <c r="J1063" s="7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1">
        <v>45117</v>
      </c>
      <c r="R1063" s="1">
        <v>45126</v>
      </c>
      <c r="S1063" t="s">
        <v>2922</v>
      </c>
    </row>
    <row r="1064" spans="1:19" x14ac:dyDescent="0.3">
      <c r="A1064" s="9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 s="5">
        <v>0.05</v>
      </c>
      <c r="I1064" t="s">
        <v>38</v>
      </c>
      <c r="J1064" s="7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1">
        <v>45510</v>
      </c>
      <c r="R1064" s="1">
        <v>45520</v>
      </c>
      <c r="S1064" t="s">
        <v>2922</v>
      </c>
    </row>
    <row r="1065" spans="1:19" x14ac:dyDescent="0.3">
      <c r="A1065" s="9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 s="5">
        <v>0.1</v>
      </c>
      <c r="I1065" t="s">
        <v>38</v>
      </c>
      <c r="J1065" s="7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1">
        <v>45489</v>
      </c>
      <c r="R1065" s="1">
        <v>45492</v>
      </c>
      <c r="S1065" t="s">
        <v>2925</v>
      </c>
    </row>
    <row r="1066" spans="1:19" x14ac:dyDescent="0.3">
      <c r="A1066" s="9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 s="5">
        <v>0</v>
      </c>
      <c r="I1066" t="s">
        <v>38</v>
      </c>
      <c r="J1066" s="7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1">
        <v>45322</v>
      </c>
      <c r="R1066" s="1">
        <v>45331</v>
      </c>
      <c r="S1066" t="s">
        <v>2924</v>
      </c>
    </row>
    <row r="1067" spans="1:19" x14ac:dyDescent="0.3">
      <c r="A1067" s="9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 s="5">
        <v>0</v>
      </c>
      <c r="I1067" t="s">
        <v>42</v>
      </c>
      <c r="J1067" s="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1">
        <v>45038</v>
      </c>
      <c r="R1067" s="1">
        <v>45040</v>
      </c>
      <c r="S1067" t="s">
        <v>2925</v>
      </c>
    </row>
    <row r="1068" spans="1:19" x14ac:dyDescent="0.3">
      <c r="A1068" s="9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 s="5">
        <v>0.15</v>
      </c>
      <c r="I1068" t="s">
        <v>39</v>
      </c>
      <c r="J1068" s="7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1">
        <v>45692</v>
      </c>
      <c r="R1068" s="1">
        <v>45695</v>
      </c>
      <c r="S1068" t="s">
        <v>2922</v>
      </c>
    </row>
    <row r="1069" spans="1:19" x14ac:dyDescent="0.3">
      <c r="A1069" s="9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 s="5">
        <v>0.15</v>
      </c>
      <c r="I1069" t="s">
        <v>41</v>
      </c>
      <c r="J1069" s="7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1">
        <v>45529</v>
      </c>
      <c r="R1069" s="1">
        <v>45538</v>
      </c>
      <c r="S1069" t="s">
        <v>2925</v>
      </c>
    </row>
    <row r="1070" spans="1:19" x14ac:dyDescent="0.3">
      <c r="A1070" s="9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 s="5">
        <v>0.05</v>
      </c>
      <c r="I1070" t="s">
        <v>39</v>
      </c>
      <c r="J1070" s="7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1">
        <v>45168</v>
      </c>
      <c r="R1070" s="1">
        <v>45174</v>
      </c>
      <c r="S1070" t="s">
        <v>2922</v>
      </c>
    </row>
    <row r="1071" spans="1:19" x14ac:dyDescent="0.3">
      <c r="A1071" s="9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 s="5">
        <v>0.05</v>
      </c>
      <c r="I1071" t="s">
        <v>37</v>
      </c>
      <c r="J1071" s="7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1">
        <v>45175</v>
      </c>
      <c r="R1071" s="1">
        <v>45181</v>
      </c>
      <c r="S1071" t="s">
        <v>2926</v>
      </c>
    </row>
    <row r="1072" spans="1:19" x14ac:dyDescent="0.3">
      <c r="A1072" s="9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 s="5">
        <v>0.05</v>
      </c>
      <c r="I1072" t="s">
        <v>41</v>
      </c>
      <c r="J1072" s="7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1">
        <v>45790</v>
      </c>
      <c r="R1072" s="1">
        <v>45798</v>
      </c>
      <c r="S1072" t="s">
        <v>2923</v>
      </c>
    </row>
    <row r="1073" spans="1:19" x14ac:dyDescent="0.3">
      <c r="A1073" s="9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 s="5">
        <v>0.1</v>
      </c>
      <c r="I1073" t="s">
        <v>39</v>
      </c>
      <c r="J1073" s="7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1">
        <v>45228</v>
      </c>
      <c r="R1073" s="1">
        <v>45236</v>
      </c>
      <c r="S1073" t="s">
        <v>2924</v>
      </c>
    </row>
    <row r="1074" spans="1:19" x14ac:dyDescent="0.3">
      <c r="A1074" s="9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 s="5">
        <v>0</v>
      </c>
      <c r="I1074" t="s">
        <v>42</v>
      </c>
      <c r="J1074" s="7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1">
        <v>45455</v>
      </c>
      <c r="R1074" s="1">
        <v>45461</v>
      </c>
      <c r="S1074" t="s">
        <v>2922</v>
      </c>
    </row>
    <row r="1075" spans="1:19" x14ac:dyDescent="0.3">
      <c r="A1075" s="9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 s="5">
        <v>0</v>
      </c>
      <c r="I1075" t="s">
        <v>42</v>
      </c>
      <c r="J1075" s="7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1">
        <v>44959</v>
      </c>
      <c r="R1075" s="1">
        <v>44962</v>
      </c>
      <c r="S1075" t="s">
        <v>2923</v>
      </c>
    </row>
    <row r="1076" spans="1:19" x14ac:dyDescent="0.3">
      <c r="A1076" s="9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 s="5">
        <v>0.15</v>
      </c>
      <c r="I1076" t="s">
        <v>38</v>
      </c>
      <c r="J1076" s="7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1">
        <v>45050</v>
      </c>
      <c r="R1076" s="1">
        <v>45058</v>
      </c>
      <c r="S1076" t="s">
        <v>2922</v>
      </c>
    </row>
    <row r="1077" spans="1:19" x14ac:dyDescent="0.3">
      <c r="A1077" s="9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 s="5">
        <v>0</v>
      </c>
      <c r="I1077" t="s">
        <v>40</v>
      </c>
      <c r="J1077" s="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1">
        <v>45070</v>
      </c>
      <c r="R1077" s="1">
        <v>45077</v>
      </c>
      <c r="S1077" t="s">
        <v>2926</v>
      </c>
    </row>
    <row r="1078" spans="1:19" x14ac:dyDescent="0.3">
      <c r="A1078" s="9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 s="5">
        <v>0</v>
      </c>
      <c r="I1078" t="s">
        <v>41</v>
      </c>
      <c r="J1078" s="7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1">
        <v>44960</v>
      </c>
      <c r="R1078" s="1">
        <v>44970</v>
      </c>
      <c r="S1078" t="s">
        <v>2926</v>
      </c>
    </row>
    <row r="1079" spans="1:19" x14ac:dyDescent="0.3">
      <c r="A1079" s="9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 s="5">
        <v>0</v>
      </c>
      <c r="I1079" t="s">
        <v>42</v>
      </c>
      <c r="J1079" s="7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1">
        <v>45285</v>
      </c>
      <c r="R1079" s="1">
        <v>45293</v>
      </c>
      <c r="S1079" t="s">
        <v>2922</v>
      </c>
    </row>
    <row r="1080" spans="1:19" x14ac:dyDescent="0.3">
      <c r="A1080" s="9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 s="5">
        <v>0.1</v>
      </c>
      <c r="I1080" t="s">
        <v>41</v>
      </c>
      <c r="J1080" s="7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1">
        <v>45133</v>
      </c>
      <c r="R1080" s="1">
        <v>45139</v>
      </c>
      <c r="S1080" t="s">
        <v>2922</v>
      </c>
    </row>
    <row r="1081" spans="1:19" x14ac:dyDescent="0.3">
      <c r="A1081" s="9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 s="5">
        <v>0.15</v>
      </c>
      <c r="I1081" t="s">
        <v>42</v>
      </c>
      <c r="J1081" s="7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1">
        <v>45449</v>
      </c>
      <c r="R1081" s="1">
        <v>45458</v>
      </c>
      <c r="S1081" t="s">
        <v>2925</v>
      </c>
    </row>
    <row r="1082" spans="1:19" x14ac:dyDescent="0.3">
      <c r="A1082" s="9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 s="5">
        <v>0.05</v>
      </c>
      <c r="I1082" t="s">
        <v>37</v>
      </c>
      <c r="J1082" s="7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1">
        <v>45578</v>
      </c>
      <c r="R1082" s="1">
        <v>45583</v>
      </c>
      <c r="S1082" t="s">
        <v>2923</v>
      </c>
    </row>
    <row r="1083" spans="1:19" x14ac:dyDescent="0.3">
      <c r="A1083" s="9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 s="5">
        <v>0</v>
      </c>
      <c r="I1083" t="s">
        <v>41</v>
      </c>
      <c r="J1083" s="7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1">
        <v>45599</v>
      </c>
      <c r="R1083" s="1">
        <v>45609</v>
      </c>
      <c r="S1083" t="s">
        <v>2924</v>
      </c>
    </row>
    <row r="1084" spans="1:19" x14ac:dyDescent="0.3">
      <c r="A1084" s="9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 s="5">
        <v>0.1</v>
      </c>
      <c r="I1084" t="s">
        <v>39</v>
      </c>
      <c r="J1084" s="7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1">
        <v>45325</v>
      </c>
      <c r="R1084" s="1">
        <v>45333</v>
      </c>
      <c r="S1084" t="s">
        <v>2924</v>
      </c>
    </row>
    <row r="1085" spans="1:19" x14ac:dyDescent="0.3">
      <c r="A1085" s="9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 s="5">
        <v>0.15</v>
      </c>
      <c r="I1085" t="s">
        <v>38</v>
      </c>
      <c r="J1085" s="7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1">
        <v>44936</v>
      </c>
      <c r="R1085" s="1">
        <v>44939</v>
      </c>
      <c r="S1085" t="s">
        <v>2922</v>
      </c>
    </row>
    <row r="1086" spans="1:19" x14ac:dyDescent="0.3">
      <c r="A1086" s="9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 s="5">
        <v>0.05</v>
      </c>
      <c r="I1086" t="s">
        <v>37</v>
      </c>
      <c r="J1086" s="7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1">
        <v>45215</v>
      </c>
      <c r="R1086" s="1">
        <v>45221</v>
      </c>
      <c r="S1086" t="s">
        <v>2922</v>
      </c>
    </row>
    <row r="1087" spans="1:19" x14ac:dyDescent="0.3">
      <c r="A1087" s="9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 s="5">
        <v>0.1</v>
      </c>
      <c r="I1087" t="s">
        <v>42</v>
      </c>
      <c r="J1087" s="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1">
        <v>45735</v>
      </c>
      <c r="R1087" s="1">
        <v>45740</v>
      </c>
      <c r="S1087" t="s">
        <v>2925</v>
      </c>
    </row>
    <row r="1088" spans="1:19" x14ac:dyDescent="0.3">
      <c r="A1088" s="9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 s="5">
        <v>0.1</v>
      </c>
      <c r="I1088" t="s">
        <v>38</v>
      </c>
      <c r="J1088" s="7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1">
        <v>45642</v>
      </c>
      <c r="R1088" s="1">
        <v>45645</v>
      </c>
      <c r="S1088" t="s">
        <v>2926</v>
      </c>
    </row>
    <row r="1089" spans="1:19" x14ac:dyDescent="0.3">
      <c r="A1089" s="9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 s="5">
        <v>0.05</v>
      </c>
      <c r="I1089" t="s">
        <v>41</v>
      </c>
      <c r="J1089" s="7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1">
        <v>45154</v>
      </c>
      <c r="R1089" s="1">
        <v>45158</v>
      </c>
      <c r="S1089" t="s">
        <v>2926</v>
      </c>
    </row>
    <row r="1090" spans="1:19" x14ac:dyDescent="0.3">
      <c r="A1090" s="9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 s="5">
        <v>0.05</v>
      </c>
      <c r="I1090" t="s">
        <v>41</v>
      </c>
      <c r="J1090" s="7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1">
        <v>44936</v>
      </c>
      <c r="R1090" s="1">
        <v>44946</v>
      </c>
      <c r="S1090" t="s">
        <v>2922</v>
      </c>
    </row>
    <row r="1091" spans="1:19" x14ac:dyDescent="0.3">
      <c r="A1091" s="9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 s="5">
        <v>0.1</v>
      </c>
      <c r="I1091" t="s">
        <v>37</v>
      </c>
      <c r="J1091" s="7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1">
        <v>45786</v>
      </c>
      <c r="R1091" s="1">
        <v>45795</v>
      </c>
      <c r="S1091" t="s">
        <v>2925</v>
      </c>
    </row>
    <row r="1092" spans="1:19" x14ac:dyDescent="0.3">
      <c r="A1092" s="9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 s="5">
        <v>0.15</v>
      </c>
      <c r="I1092" t="s">
        <v>42</v>
      </c>
      <c r="J1092" s="7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1">
        <v>45390</v>
      </c>
      <c r="R1092" s="1">
        <v>45398</v>
      </c>
      <c r="S1092" t="s">
        <v>2922</v>
      </c>
    </row>
    <row r="1093" spans="1:19" x14ac:dyDescent="0.3">
      <c r="A1093" s="9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 s="5">
        <v>0.1</v>
      </c>
      <c r="I1093" t="s">
        <v>41</v>
      </c>
      <c r="J1093" s="7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1">
        <v>45783</v>
      </c>
      <c r="R1093" s="1">
        <v>45792</v>
      </c>
      <c r="S1093" t="s">
        <v>2922</v>
      </c>
    </row>
    <row r="1094" spans="1:19" x14ac:dyDescent="0.3">
      <c r="A1094" s="9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 s="5">
        <v>0.05</v>
      </c>
      <c r="I1094" t="s">
        <v>42</v>
      </c>
      <c r="J1094" s="7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1">
        <v>45067</v>
      </c>
      <c r="R1094" s="1">
        <v>45075</v>
      </c>
      <c r="S1094" t="s">
        <v>2926</v>
      </c>
    </row>
    <row r="1095" spans="1:19" x14ac:dyDescent="0.3">
      <c r="A1095" s="9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 s="5">
        <v>0.15</v>
      </c>
      <c r="I1095" t="s">
        <v>38</v>
      </c>
      <c r="J1095" s="7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1">
        <v>45253</v>
      </c>
      <c r="R1095" s="1">
        <v>45260</v>
      </c>
      <c r="S1095" t="s">
        <v>2925</v>
      </c>
    </row>
    <row r="1096" spans="1:19" x14ac:dyDescent="0.3">
      <c r="A1096" s="9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 s="5">
        <v>0.15</v>
      </c>
      <c r="I1096" t="s">
        <v>37</v>
      </c>
      <c r="J1096" s="7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1">
        <v>45377</v>
      </c>
      <c r="R1096" s="1">
        <v>45387</v>
      </c>
      <c r="S1096" t="s">
        <v>2924</v>
      </c>
    </row>
    <row r="1097" spans="1:19" x14ac:dyDescent="0.3">
      <c r="A1097" s="9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 s="5">
        <v>0.1</v>
      </c>
      <c r="I1097" t="s">
        <v>42</v>
      </c>
      <c r="J1097" s="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1">
        <v>45560</v>
      </c>
      <c r="R1097" s="1">
        <v>45567</v>
      </c>
      <c r="S1097" t="s">
        <v>2923</v>
      </c>
    </row>
    <row r="1098" spans="1:19" x14ac:dyDescent="0.3">
      <c r="A1098" s="9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 s="5">
        <v>0.15</v>
      </c>
      <c r="I1098" t="s">
        <v>42</v>
      </c>
      <c r="J1098" s="7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1">
        <v>45022</v>
      </c>
      <c r="R1098" s="1">
        <v>45026</v>
      </c>
      <c r="S1098" t="s">
        <v>2922</v>
      </c>
    </row>
    <row r="1099" spans="1:19" x14ac:dyDescent="0.3">
      <c r="A1099" s="9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 s="5">
        <v>0.05</v>
      </c>
      <c r="I1099" t="s">
        <v>42</v>
      </c>
      <c r="J1099" s="7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1">
        <v>45467</v>
      </c>
      <c r="R1099" s="1">
        <v>45469</v>
      </c>
      <c r="S1099" t="s">
        <v>2924</v>
      </c>
    </row>
    <row r="1100" spans="1:19" x14ac:dyDescent="0.3">
      <c r="A1100" s="9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 s="5">
        <v>0</v>
      </c>
      <c r="I1100" t="s">
        <v>40</v>
      </c>
      <c r="J1100" s="7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1">
        <v>45641</v>
      </c>
      <c r="R1100" s="1">
        <v>45649</v>
      </c>
      <c r="S1100" t="s">
        <v>2923</v>
      </c>
    </row>
    <row r="1101" spans="1:19" x14ac:dyDescent="0.3">
      <c r="A1101" s="9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 s="5">
        <v>0</v>
      </c>
      <c r="I1101" t="s">
        <v>42</v>
      </c>
      <c r="J1101" s="7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1">
        <v>45568</v>
      </c>
      <c r="R1101" s="1">
        <v>45576</v>
      </c>
      <c r="S1101" t="s">
        <v>2924</v>
      </c>
    </row>
    <row r="1102" spans="1:19" x14ac:dyDescent="0.3">
      <c r="A1102" s="9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 s="5">
        <v>0.05</v>
      </c>
      <c r="I1102" t="s">
        <v>39</v>
      </c>
      <c r="J1102" s="7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1">
        <v>45172</v>
      </c>
      <c r="R1102" s="1">
        <v>45182</v>
      </c>
      <c r="S1102" t="s">
        <v>2923</v>
      </c>
    </row>
    <row r="1103" spans="1:19" x14ac:dyDescent="0.3">
      <c r="A1103" s="9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 s="5">
        <v>0.15</v>
      </c>
      <c r="I1103" t="s">
        <v>40</v>
      </c>
      <c r="J1103" s="7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1">
        <v>44955</v>
      </c>
      <c r="R1103" s="1">
        <v>44962</v>
      </c>
      <c r="S1103" t="s">
        <v>2924</v>
      </c>
    </row>
    <row r="1104" spans="1:19" x14ac:dyDescent="0.3">
      <c r="A1104" s="9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 s="5">
        <v>0</v>
      </c>
      <c r="I1104" t="s">
        <v>39</v>
      </c>
      <c r="J1104" s="7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1">
        <v>45455</v>
      </c>
      <c r="R1104" s="1">
        <v>45463</v>
      </c>
      <c r="S1104" t="s">
        <v>2924</v>
      </c>
    </row>
    <row r="1105" spans="1:19" x14ac:dyDescent="0.3">
      <c r="A1105" s="9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 s="5">
        <v>0.15</v>
      </c>
      <c r="I1105" t="s">
        <v>38</v>
      </c>
      <c r="J1105" s="7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1">
        <v>45620</v>
      </c>
      <c r="R1105" s="1">
        <v>45629</v>
      </c>
      <c r="S1105" t="s">
        <v>2924</v>
      </c>
    </row>
    <row r="1106" spans="1:19" x14ac:dyDescent="0.3">
      <c r="A1106" s="9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 s="5">
        <v>0</v>
      </c>
      <c r="I1106" t="s">
        <v>41</v>
      </c>
      <c r="J1106" s="7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1">
        <v>45153</v>
      </c>
      <c r="R1106" s="1">
        <v>45158</v>
      </c>
      <c r="S1106" t="s">
        <v>2926</v>
      </c>
    </row>
    <row r="1107" spans="1:19" x14ac:dyDescent="0.3">
      <c r="A1107" s="9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 s="5">
        <v>0.1</v>
      </c>
      <c r="I1107" t="s">
        <v>37</v>
      </c>
      <c r="J1107" s="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1">
        <v>45525</v>
      </c>
      <c r="R1107" s="1">
        <v>45534</v>
      </c>
      <c r="S1107" t="s">
        <v>2925</v>
      </c>
    </row>
    <row r="1108" spans="1:19" x14ac:dyDescent="0.3">
      <c r="A1108" s="9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 s="5">
        <v>0.1</v>
      </c>
      <c r="I1108" t="s">
        <v>40</v>
      </c>
      <c r="J1108" s="7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1">
        <v>45070</v>
      </c>
      <c r="R1108" s="1">
        <v>45078</v>
      </c>
      <c r="S1108" t="s">
        <v>2926</v>
      </c>
    </row>
    <row r="1109" spans="1:19" x14ac:dyDescent="0.3">
      <c r="A1109" s="9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 s="5">
        <v>0.05</v>
      </c>
      <c r="I1109" t="s">
        <v>42</v>
      </c>
      <c r="J1109" s="7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1">
        <v>45043</v>
      </c>
      <c r="R1109" s="1">
        <v>45047</v>
      </c>
      <c r="S1109" t="s">
        <v>2926</v>
      </c>
    </row>
    <row r="1110" spans="1:19" x14ac:dyDescent="0.3">
      <c r="A1110" s="9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 s="5">
        <v>0.1</v>
      </c>
      <c r="I1110" t="s">
        <v>40</v>
      </c>
      <c r="J1110" s="7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1">
        <v>45067</v>
      </c>
      <c r="R1110" s="1">
        <v>45072</v>
      </c>
      <c r="S1110" t="s">
        <v>2922</v>
      </c>
    </row>
    <row r="1111" spans="1:19" x14ac:dyDescent="0.3">
      <c r="A1111" s="9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 s="5">
        <v>0</v>
      </c>
      <c r="I1111" t="s">
        <v>41</v>
      </c>
      <c r="J1111" s="7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1">
        <v>45704</v>
      </c>
      <c r="R1111" s="1">
        <v>45713</v>
      </c>
      <c r="S1111" t="s">
        <v>2922</v>
      </c>
    </row>
    <row r="1112" spans="1:19" x14ac:dyDescent="0.3">
      <c r="A1112" s="9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 s="5">
        <v>0</v>
      </c>
      <c r="I1112" t="s">
        <v>38</v>
      </c>
      <c r="J1112" s="7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1">
        <v>45162</v>
      </c>
      <c r="R1112" s="1">
        <v>45167</v>
      </c>
      <c r="S1112" t="s">
        <v>2922</v>
      </c>
    </row>
    <row r="1113" spans="1:19" x14ac:dyDescent="0.3">
      <c r="A1113" s="9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 s="5">
        <v>0.1</v>
      </c>
      <c r="I1113" t="s">
        <v>39</v>
      </c>
      <c r="J1113" s="7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1">
        <v>45365</v>
      </c>
      <c r="R1113" s="1">
        <v>45372</v>
      </c>
      <c r="S1113" t="s">
        <v>2922</v>
      </c>
    </row>
    <row r="1114" spans="1:19" x14ac:dyDescent="0.3">
      <c r="A1114" s="9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 s="5">
        <v>0</v>
      </c>
      <c r="I1114" t="s">
        <v>37</v>
      </c>
      <c r="J1114" s="7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1">
        <v>45320</v>
      </c>
      <c r="R1114" s="1">
        <v>45329</v>
      </c>
      <c r="S1114" t="s">
        <v>2924</v>
      </c>
    </row>
    <row r="1115" spans="1:19" x14ac:dyDescent="0.3">
      <c r="A1115" s="9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 s="5">
        <v>0.1</v>
      </c>
      <c r="I1115" t="s">
        <v>42</v>
      </c>
      <c r="J1115" s="7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1">
        <v>45513</v>
      </c>
      <c r="R1115" s="1">
        <v>45519</v>
      </c>
      <c r="S1115" t="s">
        <v>2923</v>
      </c>
    </row>
    <row r="1116" spans="1:19" x14ac:dyDescent="0.3">
      <c r="A1116" s="9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 s="5">
        <v>0.15</v>
      </c>
      <c r="I1116" t="s">
        <v>39</v>
      </c>
      <c r="J1116" s="7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1">
        <v>45481</v>
      </c>
      <c r="R1116" s="1">
        <v>45490</v>
      </c>
      <c r="S1116" t="s">
        <v>2924</v>
      </c>
    </row>
    <row r="1117" spans="1:19" x14ac:dyDescent="0.3">
      <c r="A1117" s="9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 s="5">
        <v>0.05</v>
      </c>
      <c r="I1117" t="s">
        <v>40</v>
      </c>
      <c r="J1117" s="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1">
        <v>45524</v>
      </c>
      <c r="R1117" s="1">
        <v>45533</v>
      </c>
      <c r="S1117" t="s">
        <v>2924</v>
      </c>
    </row>
    <row r="1118" spans="1:19" x14ac:dyDescent="0.3">
      <c r="A1118" s="9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 s="5">
        <v>0.1</v>
      </c>
      <c r="I1118" t="s">
        <v>38</v>
      </c>
      <c r="J1118" s="7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1">
        <v>45103</v>
      </c>
      <c r="R1118" s="1">
        <v>45105</v>
      </c>
      <c r="S1118" t="s">
        <v>2925</v>
      </c>
    </row>
    <row r="1119" spans="1:19" x14ac:dyDescent="0.3">
      <c r="A1119" s="9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 s="5">
        <v>0.15</v>
      </c>
      <c r="I1119" t="s">
        <v>38</v>
      </c>
      <c r="J1119" s="7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1">
        <v>45283</v>
      </c>
      <c r="R1119" s="1">
        <v>45285</v>
      </c>
      <c r="S1119" t="s">
        <v>2922</v>
      </c>
    </row>
    <row r="1120" spans="1:19" x14ac:dyDescent="0.3">
      <c r="A1120" s="9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 s="5">
        <v>0.1</v>
      </c>
      <c r="I1120" t="s">
        <v>40</v>
      </c>
      <c r="J1120" s="7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1">
        <v>45158</v>
      </c>
      <c r="R1120" s="1">
        <v>45165</v>
      </c>
      <c r="S1120" t="s">
        <v>2925</v>
      </c>
    </row>
    <row r="1121" spans="1:19" x14ac:dyDescent="0.3">
      <c r="A1121" s="9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 s="5">
        <v>0.05</v>
      </c>
      <c r="I1121" t="s">
        <v>42</v>
      </c>
      <c r="J1121" s="7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1">
        <v>45593</v>
      </c>
      <c r="R1121" s="1">
        <v>45602</v>
      </c>
      <c r="S1121" t="s">
        <v>2926</v>
      </c>
    </row>
    <row r="1122" spans="1:19" x14ac:dyDescent="0.3">
      <c r="A1122" s="9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 s="5">
        <v>0.1</v>
      </c>
      <c r="I1122" t="s">
        <v>37</v>
      </c>
      <c r="J1122" s="7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1">
        <v>45607</v>
      </c>
      <c r="R1122" s="1">
        <v>45617</v>
      </c>
      <c r="S1122" t="s">
        <v>2922</v>
      </c>
    </row>
    <row r="1123" spans="1:19" x14ac:dyDescent="0.3">
      <c r="A1123" s="9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 s="5">
        <v>0.15</v>
      </c>
      <c r="I1123" t="s">
        <v>41</v>
      </c>
      <c r="J1123" s="7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1">
        <v>45267</v>
      </c>
      <c r="R1123" s="1">
        <v>45275</v>
      </c>
      <c r="S1123" t="s">
        <v>2926</v>
      </c>
    </row>
    <row r="1124" spans="1:19" x14ac:dyDescent="0.3">
      <c r="A1124" s="9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 s="5">
        <v>0</v>
      </c>
      <c r="I1124" t="s">
        <v>42</v>
      </c>
      <c r="J1124" s="7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1">
        <v>45374</v>
      </c>
      <c r="R1124" s="1">
        <v>45384</v>
      </c>
      <c r="S1124" t="s">
        <v>2926</v>
      </c>
    </row>
    <row r="1125" spans="1:19" x14ac:dyDescent="0.3">
      <c r="A1125" s="9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 s="5">
        <v>0.05</v>
      </c>
      <c r="I1125" t="s">
        <v>42</v>
      </c>
      <c r="J1125" s="7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1">
        <v>45594</v>
      </c>
      <c r="R1125" s="1">
        <v>45598</v>
      </c>
      <c r="S1125" t="s">
        <v>2926</v>
      </c>
    </row>
    <row r="1126" spans="1:19" x14ac:dyDescent="0.3">
      <c r="A1126" s="9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 s="5">
        <v>0.1</v>
      </c>
      <c r="I1126" t="s">
        <v>41</v>
      </c>
      <c r="J1126" s="7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1">
        <v>45825</v>
      </c>
      <c r="R1126" s="1">
        <v>45830</v>
      </c>
      <c r="S1126" t="s">
        <v>2922</v>
      </c>
    </row>
    <row r="1127" spans="1:19" x14ac:dyDescent="0.3">
      <c r="A1127" s="9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 s="5">
        <v>0</v>
      </c>
      <c r="I1127" t="s">
        <v>39</v>
      </c>
      <c r="J1127" s="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1">
        <v>45003</v>
      </c>
      <c r="R1127" s="1">
        <v>45011</v>
      </c>
      <c r="S1127" t="s">
        <v>2924</v>
      </c>
    </row>
    <row r="1128" spans="1:19" x14ac:dyDescent="0.3">
      <c r="A1128" s="9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 s="5">
        <v>0</v>
      </c>
      <c r="I1128" t="s">
        <v>40</v>
      </c>
      <c r="J1128" s="7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1">
        <v>44945</v>
      </c>
      <c r="R1128" s="1">
        <v>44949</v>
      </c>
      <c r="S1128" t="s">
        <v>2922</v>
      </c>
    </row>
    <row r="1129" spans="1:19" x14ac:dyDescent="0.3">
      <c r="A1129" s="9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 s="5">
        <v>0.05</v>
      </c>
      <c r="I1129" t="s">
        <v>42</v>
      </c>
      <c r="J1129" s="7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1">
        <v>45116</v>
      </c>
      <c r="R1129" s="1">
        <v>45121</v>
      </c>
      <c r="S1129" t="s">
        <v>2926</v>
      </c>
    </row>
    <row r="1130" spans="1:19" x14ac:dyDescent="0.3">
      <c r="A1130" s="9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 s="5">
        <v>0.05</v>
      </c>
      <c r="I1130" t="s">
        <v>39</v>
      </c>
      <c r="J1130" s="7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1">
        <v>45732</v>
      </c>
      <c r="R1130" s="1">
        <v>45742</v>
      </c>
      <c r="S1130" t="s">
        <v>2922</v>
      </c>
    </row>
    <row r="1131" spans="1:19" x14ac:dyDescent="0.3">
      <c r="A1131" s="9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 s="5">
        <v>0.1</v>
      </c>
      <c r="I1131" t="s">
        <v>37</v>
      </c>
      <c r="J1131" s="7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1">
        <v>45696</v>
      </c>
      <c r="R1131" s="1">
        <v>45701</v>
      </c>
      <c r="S1131" t="s">
        <v>2924</v>
      </c>
    </row>
    <row r="1132" spans="1:19" x14ac:dyDescent="0.3">
      <c r="A1132" s="9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 s="5">
        <v>0</v>
      </c>
      <c r="I1132" t="s">
        <v>42</v>
      </c>
      <c r="J1132" s="7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1">
        <v>45402</v>
      </c>
      <c r="R1132" s="1">
        <v>45404</v>
      </c>
      <c r="S1132" t="s">
        <v>2923</v>
      </c>
    </row>
    <row r="1133" spans="1:19" x14ac:dyDescent="0.3">
      <c r="A1133" s="9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 s="5">
        <v>0.1</v>
      </c>
      <c r="I1133" t="s">
        <v>41</v>
      </c>
      <c r="J1133" s="7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1">
        <v>45813</v>
      </c>
      <c r="R1133" s="1">
        <v>45815</v>
      </c>
      <c r="S1133" t="s">
        <v>2922</v>
      </c>
    </row>
    <row r="1134" spans="1:19" x14ac:dyDescent="0.3">
      <c r="A1134" s="9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 s="5">
        <v>0</v>
      </c>
      <c r="I1134" t="s">
        <v>38</v>
      </c>
      <c r="J1134" s="7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1">
        <v>45772</v>
      </c>
      <c r="R1134" s="1">
        <v>45780</v>
      </c>
      <c r="S1134" t="s">
        <v>2923</v>
      </c>
    </row>
    <row r="1135" spans="1:19" x14ac:dyDescent="0.3">
      <c r="A1135" s="9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 s="5">
        <v>0.05</v>
      </c>
      <c r="I1135" t="s">
        <v>41</v>
      </c>
      <c r="J1135" s="7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1">
        <v>45175</v>
      </c>
      <c r="R1135" s="1">
        <v>45182</v>
      </c>
      <c r="S1135" t="s">
        <v>2925</v>
      </c>
    </row>
    <row r="1136" spans="1:19" x14ac:dyDescent="0.3">
      <c r="A1136" s="9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 s="5">
        <v>0.1</v>
      </c>
      <c r="I1136" t="s">
        <v>37</v>
      </c>
      <c r="J1136" s="7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1">
        <v>45198</v>
      </c>
      <c r="R1136" s="1">
        <v>45201</v>
      </c>
      <c r="S1136" t="s">
        <v>2922</v>
      </c>
    </row>
    <row r="1137" spans="1:19" x14ac:dyDescent="0.3">
      <c r="A1137" s="9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 s="5">
        <v>0</v>
      </c>
      <c r="I1137" t="s">
        <v>40</v>
      </c>
      <c r="J1137" s="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1">
        <v>45433</v>
      </c>
      <c r="R1137" s="1">
        <v>45435</v>
      </c>
      <c r="S1137" t="s">
        <v>2925</v>
      </c>
    </row>
    <row r="1138" spans="1:19" x14ac:dyDescent="0.3">
      <c r="A1138" s="9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 s="5">
        <v>0</v>
      </c>
      <c r="I1138" t="s">
        <v>42</v>
      </c>
      <c r="J1138" s="7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1">
        <v>45760</v>
      </c>
      <c r="R1138" s="1">
        <v>45766</v>
      </c>
      <c r="S1138" t="s">
        <v>2926</v>
      </c>
    </row>
    <row r="1139" spans="1:19" x14ac:dyDescent="0.3">
      <c r="A1139" s="9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 s="5">
        <v>0</v>
      </c>
      <c r="I1139" t="s">
        <v>41</v>
      </c>
      <c r="J1139" s="7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1">
        <v>45612</v>
      </c>
      <c r="R1139" s="1">
        <v>45616</v>
      </c>
      <c r="S1139" t="s">
        <v>2922</v>
      </c>
    </row>
    <row r="1140" spans="1:19" x14ac:dyDescent="0.3">
      <c r="A1140" s="9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 s="5">
        <v>0.1</v>
      </c>
      <c r="I1140" t="s">
        <v>41</v>
      </c>
      <c r="J1140" s="7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1">
        <v>45493</v>
      </c>
      <c r="R1140" s="1">
        <v>45501</v>
      </c>
      <c r="S1140" t="s">
        <v>2924</v>
      </c>
    </row>
    <row r="1141" spans="1:19" x14ac:dyDescent="0.3">
      <c r="A1141" s="9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 s="5">
        <v>0.15</v>
      </c>
      <c r="I1141" t="s">
        <v>40</v>
      </c>
      <c r="J1141" s="7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1">
        <v>45066</v>
      </c>
      <c r="R1141" s="1">
        <v>45073</v>
      </c>
      <c r="S1141" t="s">
        <v>2924</v>
      </c>
    </row>
    <row r="1142" spans="1:19" x14ac:dyDescent="0.3">
      <c r="A1142" s="9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 s="5">
        <v>0.15</v>
      </c>
      <c r="I1142" t="s">
        <v>40</v>
      </c>
      <c r="J1142" s="7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1">
        <v>45221</v>
      </c>
      <c r="R1142" s="1">
        <v>45225</v>
      </c>
      <c r="S1142" t="s">
        <v>2926</v>
      </c>
    </row>
    <row r="1143" spans="1:19" x14ac:dyDescent="0.3">
      <c r="A1143" s="9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 s="5">
        <v>0.15</v>
      </c>
      <c r="I1143" t="s">
        <v>42</v>
      </c>
      <c r="J1143" s="7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1">
        <v>45795</v>
      </c>
      <c r="R1143" s="1">
        <v>45798</v>
      </c>
      <c r="S1143" t="s">
        <v>2924</v>
      </c>
    </row>
    <row r="1144" spans="1:19" x14ac:dyDescent="0.3">
      <c r="A1144" s="9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 s="5">
        <v>0.15</v>
      </c>
      <c r="I1144" t="s">
        <v>39</v>
      </c>
      <c r="J1144" s="7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1">
        <v>45354</v>
      </c>
      <c r="R1144" s="1">
        <v>45357</v>
      </c>
      <c r="S1144" t="s">
        <v>2923</v>
      </c>
    </row>
    <row r="1145" spans="1:19" x14ac:dyDescent="0.3">
      <c r="A1145" s="9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 s="5">
        <v>0.1</v>
      </c>
      <c r="I1145" t="s">
        <v>39</v>
      </c>
      <c r="J1145" s="7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1">
        <v>45130</v>
      </c>
      <c r="R1145" s="1">
        <v>45140</v>
      </c>
      <c r="S1145" t="s">
        <v>2922</v>
      </c>
    </row>
    <row r="1146" spans="1:19" x14ac:dyDescent="0.3">
      <c r="A1146" s="9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 s="5">
        <v>0.1</v>
      </c>
      <c r="I1146" t="s">
        <v>39</v>
      </c>
      <c r="J1146" s="7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1">
        <v>45697</v>
      </c>
      <c r="R1146" s="1">
        <v>45702</v>
      </c>
      <c r="S1146" t="s">
        <v>2924</v>
      </c>
    </row>
    <row r="1147" spans="1:19" x14ac:dyDescent="0.3">
      <c r="A1147" s="9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 s="5">
        <v>0</v>
      </c>
      <c r="I1147" t="s">
        <v>40</v>
      </c>
      <c r="J1147" s="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1">
        <v>44943</v>
      </c>
      <c r="R1147" s="1">
        <v>44949</v>
      </c>
      <c r="S1147" t="s">
        <v>2923</v>
      </c>
    </row>
    <row r="1148" spans="1:19" x14ac:dyDescent="0.3">
      <c r="A1148" s="9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 s="5">
        <v>0.05</v>
      </c>
      <c r="I1148" t="s">
        <v>41</v>
      </c>
      <c r="J1148" s="7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1">
        <v>45186</v>
      </c>
      <c r="R1148" s="1">
        <v>45195</v>
      </c>
      <c r="S1148" t="s">
        <v>2924</v>
      </c>
    </row>
    <row r="1149" spans="1:19" x14ac:dyDescent="0.3">
      <c r="A1149" s="9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 s="5">
        <v>0.1</v>
      </c>
      <c r="I1149" t="s">
        <v>38</v>
      </c>
      <c r="J1149" s="7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1">
        <v>45703</v>
      </c>
      <c r="R1149" s="1">
        <v>45711</v>
      </c>
      <c r="S1149" t="s">
        <v>2924</v>
      </c>
    </row>
    <row r="1150" spans="1:19" x14ac:dyDescent="0.3">
      <c r="A1150" s="9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 s="5">
        <v>0.05</v>
      </c>
      <c r="I1150" t="s">
        <v>42</v>
      </c>
      <c r="J1150" s="7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1">
        <v>45206</v>
      </c>
      <c r="R1150" s="1">
        <v>45208</v>
      </c>
      <c r="S1150" t="s">
        <v>2926</v>
      </c>
    </row>
    <row r="1151" spans="1:19" x14ac:dyDescent="0.3">
      <c r="A1151" s="9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 s="5">
        <v>0</v>
      </c>
      <c r="I1151" t="s">
        <v>41</v>
      </c>
      <c r="J1151" s="7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1">
        <v>45146</v>
      </c>
      <c r="R1151" s="1">
        <v>45148</v>
      </c>
      <c r="S1151" t="s">
        <v>2926</v>
      </c>
    </row>
    <row r="1152" spans="1:19" x14ac:dyDescent="0.3">
      <c r="A1152" s="9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 s="5">
        <v>0.15</v>
      </c>
      <c r="I1152" t="s">
        <v>39</v>
      </c>
      <c r="J1152" s="7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1">
        <v>45159</v>
      </c>
      <c r="R1152" s="1">
        <v>45165</v>
      </c>
      <c r="S1152" t="s">
        <v>2922</v>
      </c>
    </row>
    <row r="1153" spans="1:19" x14ac:dyDescent="0.3">
      <c r="A1153" s="9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 s="5">
        <v>0.1</v>
      </c>
      <c r="I1153" t="s">
        <v>38</v>
      </c>
      <c r="J1153" s="7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1">
        <v>45480</v>
      </c>
      <c r="R1153" s="1">
        <v>45484</v>
      </c>
      <c r="S1153" t="s">
        <v>2924</v>
      </c>
    </row>
    <row r="1154" spans="1:19" x14ac:dyDescent="0.3">
      <c r="A1154" s="9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 s="5">
        <v>0.15</v>
      </c>
      <c r="I1154" t="s">
        <v>42</v>
      </c>
      <c r="J1154" s="7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1">
        <v>45674</v>
      </c>
      <c r="R1154" s="1">
        <v>45681</v>
      </c>
      <c r="S1154" t="s">
        <v>2923</v>
      </c>
    </row>
    <row r="1155" spans="1:19" x14ac:dyDescent="0.3">
      <c r="A1155" s="9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 s="5">
        <v>0.15</v>
      </c>
      <c r="I1155" t="s">
        <v>42</v>
      </c>
      <c r="J1155" s="7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1">
        <v>45266</v>
      </c>
      <c r="R1155" s="1">
        <v>45276</v>
      </c>
      <c r="S1155" t="s">
        <v>2924</v>
      </c>
    </row>
    <row r="1156" spans="1:19" x14ac:dyDescent="0.3">
      <c r="A1156" s="9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 s="5">
        <v>0.05</v>
      </c>
      <c r="I1156" t="s">
        <v>40</v>
      </c>
      <c r="J1156" s="7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1">
        <v>44986</v>
      </c>
      <c r="R1156" s="1">
        <v>44989</v>
      </c>
      <c r="S1156" t="s">
        <v>2923</v>
      </c>
    </row>
    <row r="1157" spans="1:19" x14ac:dyDescent="0.3">
      <c r="A1157" s="9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 s="5">
        <v>0.1</v>
      </c>
      <c r="I1157" t="s">
        <v>41</v>
      </c>
      <c r="J1157" s="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1">
        <v>45699</v>
      </c>
      <c r="R1157" s="1">
        <v>45703</v>
      </c>
      <c r="S1157" t="s">
        <v>2924</v>
      </c>
    </row>
    <row r="1158" spans="1:19" x14ac:dyDescent="0.3">
      <c r="A1158" s="9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 s="5">
        <v>0.05</v>
      </c>
      <c r="I1158" t="s">
        <v>40</v>
      </c>
      <c r="J1158" s="7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1">
        <v>45097</v>
      </c>
      <c r="R1158" s="1">
        <v>45102</v>
      </c>
      <c r="S1158" t="s">
        <v>2925</v>
      </c>
    </row>
    <row r="1159" spans="1:19" x14ac:dyDescent="0.3">
      <c r="A1159" s="9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 s="5">
        <v>0.05</v>
      </c>
      <c r="I1159" t="s">
        <v>39</v>
      </c>
      <c r="J1159" s="7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1">
        <v>45351</v>
      </c>
      <c r="R1159" s="1">
        <v>45354</v>
      </c>
      <c r="S1159" t="s">
        <v>2926</v>
      </c>
    </row>
    <row r="1160" spans="1:19" x14ac:dyDescent="0.3">
      <c r="A1160" s="9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 s="5">
        <v>0.1</v>
      </c>
      <c r="I1160" t="s">
        <v>37</v>
      </c>
      <c r="J1160" s="7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1">
        <v>45838</v>
      </c>
      <c r="R1160" s="1">
        <v>45843</v>
      </c>
      <c r="S1160" t="s">
        <v>2924</v>
      </c>
    </row>
    <row r="1161" spans="1:19" x14ac:dyDescent="0.3">
      <c r="A1161" s="9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 s="5">
        <v>0.1</v>
      </c>
      <c r="I1161" t="s">
        <v>37</v>
      </c>
      <c r="J1161" s="7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1">
        <v>45523</v>
      </c>
      <c r="R1161" s="1">
        <v>45529</v>
      </c>
      <c r="S1161" t="s">
        <v>2924</v>
      </c>
    </row>
    <row r="1162" spans="1:19" x14ac:dyDescent="0.3">
      <c r="A1162" s="9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 s="5">
        <v>0.1</v>
      </c>
      <c r="I1162" t="s">
        <v>38</v>
      </c>
      <c r="J1162" s="7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1">
        <v>45306</v>
      </c>
      <c r="R1162" s="1">
        <v>45310</v>
      </c>
      <c r="S1162" t="s">
        <v>2925</v>
      </c>
    </row>
    <row r="1163" spans="1:19" x14ac:dyDescent="0.3">
      <c r="A1163" s="9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 s="5">
        <v>0.15</v>
      </c>
      <c r="I1163" t="s">
        <v>39</v>
      </c>
      <c r="J1163" s="7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1">
        <v>45512</v>
      </c>
      <c r="R1163" s="1">
        <v>45515</v>
      </c>
      <c r="S1163" t="s">
        <v>2925</v>
      </c>
    </row>
    <row r="1164" spans="1:19" x14ac:dyDescent="0.3">
      <c r="A1164" s="9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 s="5">
        <v>0.1</v>
      </c>
      <c r="I1164" t="s">
        <v>39</v>
      </c>
      <c r="J1164" s="7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1">
        <v>45570</v>
      </c>
      <c r="R1164" s="1">
        <v>45572</v>
      </c>
      <c r="S1164" t="s">
        <v>2926</v>
      </c>
    </row>
    <row r="1165" spans="1:19" x14ac:dyDescent="0.3">
      <c r="A1165" s="9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 s="5">
        <v>0.1</v>
      </c>
      <c r="I1165" t="s">
        <v>39</v>
      </c>
      <c r="J1165" s="7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1">
        <v>45304</v>
      </c>
      <c r="R1165" s="1">
        <v>45312</v>
      </c>
      <c r="S1165" t="s">
        <v>2923</v>
      </c>
    </row>
    <row r="1166" spans="1:19" x14ac:dyDescent="0.3">
      <c r="A1166" s="9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 s="5">
        <v>0.05</v>
      </c>
      <c r="I1166" t="s">
        <v>41</v>
      </c>
      <c r="J1166" s="7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1">
        <v>45014</v>
      </c>
      <c r="R1166" s="1">
        <v>45020</v>
      </c>
      <c r="S1166" t="s">
        <v>2926</v>
      </c>
    </row>
    <row r="1167" spans="1:19" x14ac:dyDescent="0.3">
      <c r="A1167" s="9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 s="5">
        <v>0.1</v>
      </c>
      <c r="I1167" t="s">
        <v>42</v>
      </c>
      <c r="J1167" s="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1">
        <v>45218</v>
      </c>
      <c r="R1167" s="1">
        <v>45222</v>
      </c>
      <c r="S1167" t="s">
        <v>2924</v>
      </c>
    </row>
    <row r="1168" spans="1:19" x14ac:dyDescent="0.3">
      <c r="A1168" s="9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 s="5">
        <v>0</v>
      </c>
      <c r="I1168" t="s">
        <v>42</v>
      </c>
      <c r="J1168" s="7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1">
        <v>45222</v>
      </c>
      <c r="R1168" s="1">
        <v>45231</v>
      </c>
      <c r="S1168" t="s">
        <v>2926</v>
      </c>
    </row>
    <row r="1169" spans="1:19" x14ac:dyDescent="0.3">
      <c r="A1169" s="9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 s="5">
        <v>0.05</v>
      </c>
      <c r="I1169" t="s">
        <v>37</v>
      </c>
      <c r="J1169" s="7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1">
        <v>45009</v>
      </c>
      <c r="R1169" s="1">
        <v>45013</v>
      </c>
      <c r="S1169" t="s">
        <v>2923</v>
      </c>
    </row>
    <row r="1170" spans="1:19" x14ac:dyDescent="0.3">
      <c r="A1170" s="9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 s="5">
        <v>0.15</v>
      </c>
      <c r="I1170" t="s">
        <v>37</v>
      </c>
      <c r="J1170" s="7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1">
        <v>45513</v>
      </c>
      <c r="R1170" s="1">
        <v>45518</v>
      </c>
      <c r="S1170" t="s">
        <v>2926</v>
      </c>
    </row>
    <row r="1171" spans="1:19" x14ac:dyDescent="0.3">
      <c r="A1171" s="9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 s="5">
        <v>0.1</v>
      </c>
      <c r="I1171" t="s">
        <v>40</v>
      </c>
      <c r="J1171" s="7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1">
        <v>45042</v>
      </c>
      <c r="R1171" s="1">
        <v>45052</v>
      </c>
      <c r="S1171" t="s">
        <v>2923</v>
      </c>
    </row>
    <row r="1172" spans="1:19" x14ac:dyDescent="0.3">
      <c r="A1172" s="9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 s="5">
        <v>0.05</v>
      </c>
      <c r="I1172" t="s">
        <v>38</v>
      </c>
      <c r="J1172" s="7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1">
        <v>45355</v>
      </c>
      <c r="R1172" s="1">
        <v>45363</v>
      </c>
      <c r="S1172" t="s">
        <v>2926</v>
      </c>
    </row>
    <row r="1173" spans="1:19" x14ac:dyDescent="0.3">
      <c r="A1173" s="9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 s="5">
        <v>0.15</v>
      </c>
      <c r="I1173" t="s">
        <v>42</v>
      </c>
      <c r="J1173" s="7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1">
        <v>44971</v>
      </c>
      <c r="R1173" s="1">
        <v>44974</v>
      </c>
      <c r="S1173" t="s">
        <v>2922</v>
      </c>
    </row>
    <row r="1174" spans="1:19" x14ac:dyDescent="0.3">
      <c r="A1174" s="9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 s="5">
        <v>0.05</v>
      </c>
      <c r="I1174" t="s">
        <v>42</v>
      </c>
      <c r="J1174" s="7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1">
        <v>45044</v>
      </c>
      <c r="R1174" s="1">
        <v>45049</v>
      </c>
      <c r="S1174" t="s">
        <v>2926</v>
      </c>
    </row>
    <row r="1175" spans="1:19" x14ac:dyDescent="0.3">
      <c r="A1175" s="9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 s="5">
        <v>0.15</v>
      </c>
      <c r="I1175" t="s">
        <v>39</v>
      </c>
      <c r="J1175" s="7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1">
        <v>45354</v>
      </c>
      <c r="R1175" s="1">
        <v>45362</v>
      </c>
      <c r="S1175" t="s">
        <v>2924</v>
      </c>
    </row>
    <row r="1176" spans="1:19" x14ac:dyDescent="0.3">
      <c r="A1176" s="9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 s="5">
        <v>0.15</v>
      </c>
      <c r="I1176" t="s">
        <v>39</v>
      </c>
      <c r="J1176" s="7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1">
        <v>45539</v>
      </c>
      <c r="R1176" s="1">
        <v>45543</v>
      </c>
      <c r="S1176" t="s">
        <v>2926</v>
      </c>
    </row>
    <row r="1177" spans="1:19" x14ac:dyDescent="0.3">
      <c r="A1177" s="9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 s="5">
        <v>0</v>
      </c>
      <c r="I1177" t="s">
        <v>38</v>
      </c>
      <c r="J1177" s="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1">
        <v>45656</v>
      </c>
      <c r="R1177" s="1">
        <v>45664</v>
      </c>
      <c r="S1177" t="s">
        <v>2922</v>
      </c>
    </row>
    <row r="1178" spans="1:19" x14ac:dyDescent="0.3">
      <c r="A1178" s="9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 s="5">
        <v>0</v>
      </c>
      <c r="I1178" t="s">
        <v>42</v>
      </c>
      <c r="J1178" s="7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1">
        <v>45332</v>
      </c>
      <c r="R1178" s="1">
        <v>45338</v>
      </c>
      <c r="S1178" t="s">
        <v>2922</v>
      </c>
    </row>
    <row r="1179" spans="1:19" x14ac:dyDescent="0.3">
      <c r="A1179" s="9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 s="5">
        <v>0.15</v>
      </c>
      <c r="I1179" t="s">
        <v>38</v>
      </c>
      <c r="J1179" s="7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1">
        <v>45176</v>
      </c>
      <c r="R1179" s="1">
        <v>45184</v>
      </c>
      <c r="S1179" t="s">
        <v>2925</v>
      </c>
    </row>
    <row r="1180" spans="1:19" x14ac:dyDescent="0.3">
      <c r="A1180" s="9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 s="5">
        <v>0</v>
      </c>
      <c r="I1180" t="s">
        <v>40</v>
      </c>
      <c r="J1180" s="7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1">
        <v>45149</v>
      </c>
      <c r="R1180" s="1">
        <v>45153</v>
      </c>
      <c r="S1180" t="s">
        <v>2922</v>
      </c>
    </row>
    <row r="1181" spans="1:19" x14ac:dyDescent="0.3">
      <c r="A1181" s="9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 s="5">
        <v>0.1</v>
      </c>
      <c r="I1181" t="s">
        <v>41</v>
      </c>
      <c r="J1181" s="7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1">
        <v>44997</v>
      </c>
      <c r="R1181" s="1">
        <v>45001</v>
      </c>
      <c r="S1181" t="s">
        <v>2926</v>
      </c>
    </row>
    <row r="1182" spans="1:19" x14ac:dyDescent="0.3">
      <c r="A1182" s="9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 s="5">
        <v>0.1</v>
      </c>
      <c r="I1182" t="s">
        <v>37</v>
      </c>
      <c r="J1182" s="7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1">
        <v>45014</v>
      </c>
      <c r="R1182" s="1">
        <v>45016</v>
      </c>
      <c r="S1182" t="s">
        <v>2925</v>
      </c>
    </row>
    <row r="1183" spans="1:19" x14ac:dyDescent="0.3">
      <c r="A1183" s="9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 s="5">
        <v>0.05</v>
      </c>
      <c r="I1183" t="s">
        <v>39</v>
      </c>
      <c r="J1183" s="7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1">
        <v>45705</v>
      </c>
      <c r="R1183" s="1">
        <v>45715</v>
      </c>
      <c r="S1183" t="s">
        <v>2923</v>
      </c>
    </row>
    <row r="1184" spans="1:19" x14ac:dyDescent="0.3">
      <c r="A1184" s="9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 s="5">
        <v>0.05</v>
      </c>
      <c r="I1184" t="s">
        <v>41</v>
      </c>
      <c r="J1184" s="7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1">
        <v>45298</v>
      </c>
      <c r="R1184" s="1">
        <v>45306</v>
      </c>
      <c r="S1184" t="s">
        <v>2924</v>
      </c>
    </row>
    <row r="1185" spans="1:19" x14ac:dyDescent="0.3">
      <c r="A1185" s="9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 s="5">
        <v>0.1</v>
      </c>
      <c r="I1185" t="s">
        <v>41</v>
      </c>
      <c r="J1185" s="7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1">
        <v>44940</v>
      </c>
      <c r="R1185" s="1">
        <v>44946</v>
      </c>
      <c r="S1185" t="s">
        <v>2922</v>
      </c>
    </row>
    <row r="1186" spans="1:19" x14ac:dyDescent="0.3">
      <c r="A1186" s="9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 s="5">
        <v>0</v>
      </c>
      <c r="I1186" t="s">
        <v>42</v>
      </c>
      <c r="J1186" s="7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1">
        <v>45294</v>
      </c>
      <c r="R1186" s="1">
        <v>45303</v>
      </c>
      <c r="S1186" t="s">
        <v>2926</v>
      </c>
    </row>
    <row r="1187" spans="1:19" x14ac:dyDescent="0.3">
      <c r="A1187" s="9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 s="5">
        <v>0</v>
      </c>
      <c r="I1187" t="s">
        <v>37</v>
      </c>
      <c r="J1187" s="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1">
        <v>45163</v>
      </c>
      <c r="R1187" s="1">
        <v>45166</v>
      </c>
      <c r="S1187" t="s">
        <v>2923</v>
      </c>
    </row>
    <row r="1188" spans="1:19" x14ac:dyDescent="0.3">
      <c r="A1188" s="9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 s="5">
        <v>0.15</v>
      </c>
      <c r="I1188" t="s">
        <v>37</v>
      </c>
      <c r="J1188" s="7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1">
        <v>45793</v>
      </c>
      <c r="R1188" s="1">
        <v>45802</v>
      </c>
      <c r="S1188" t="s">
        <v>2924</v>
      </c>
    </row>
    <row r="1189" spans="1:19" x14ac:dyDescent="0.3">
      <c r="A1189" s="9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 s="5">
        <v>0.05</v>
      </c>
      <c r="I1189" t="s">
        <v>41</v>
      </c>
      <c r="J1189" s="7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1">
        <v>45290</v>
      </c>
      <c r="R1189" s="1">
        <v>45294</v>
      </c>
      <c r="S1189" t="s">
        <v>2923</v>
      </c>
    </row>
    <row r="1190" spans="1:19" x14ac:dyDescent="0.3">
      <c r="A1190" s="9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 s="5">
        <v>0.05</v>
      </c>
      <c r="I1190" t="s">
        <v>42</v>
      </c>
      <c r="J1190" s="7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1">
        <v>45571</v>
      </c>
      <c r="R1190" s="1">
        <v>45574</v>
      </c>
      <c r="S1190" t="s">
        <v>2923</v>
      </c>
    </row>
    <row r="1191" spans="1:19" x14ac:dyDescent="0.3">
      <c r="A1191" s="9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 s="5">
        <v>0.15</v>
      </c>
      <c r="I1191" t="s">
        <v>42</v>
      </c>
      <c r="J1191" s="7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1">
        <v>44997</v>
      </c>
      <c r="R1191" s="1">
        <v>45007</v>
      </c>
      <c r="S1191" t="s">
        <v>2925</v>
      </c>
    </row>
    <row r="1192" spans="1:19" x14ac:dyDescent="0.3">
      <c r="A1192" s="9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 s="5">
        <v>0</v>
      </c>
      <c r="I1192" t="s">
        <v>40</v>
      </c>
      <c r="J1192" s="7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1">
        <v>45388</v>
      </c>
      <c r="R1192" s="1">
        <v>45390</v>
      </c>
      <c r="S1192" t="s">
        <v>2924</v>
      </c>
    </row>
    <row r="1193" spans="1:19" x14ac:dyDescent="0.3">
      <c r="A1193" s="9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 s="5">
        <v>0.05</v>
      </c>
      <c r="I1193" t="s">
        <v>39</v>
      </c>
      <c r="J1193" s="7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1">
        <v>44946</v>
      </c>
      <c r="R1193" s="1">
        <v>44951</v>
      </c>
      <c r="S1193" t="s">
        <v>2924</v>
      </c>
    </row>
    <row r="1194" spans="1:19" x14ac:dyDescent="0.3">
      <c r="A1194" s="9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 s="5">
        <v>0.05</v>
      </c>
      <c r="I1194" t="s">
        <v>41</v>
      </c>
      <c r="J1194" s="7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1">
        <v>45481</v>
      </c>
      <c r="R1194" s="1">
        <v>45485</v>
      </c>
      <c r="S1194" t="s">
        <v>2926</v>
      </c>
    </row>
    <row r="1195" spans="1:19" x14ac:dyDescent="0.3">
      <c r="A1195" s="9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 s="5">
        <v>0.05</v>
      </c>
      <c r="I1195" t="s">
        <v>40</v>
      </c>
      <c r="J1195" s="7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1">
        <v>45205</v>
      </c>
      <c r="R1195" s="1">
        <v>45215</v>
      </c>
      <c r="S1195" t="s">
        <v>2924</v>
      </c>
    </row>
    <row r="1196" spans="1:19" x14ac:dyDescent="0.3">
      <c r="A1196" s="9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 s="5">
        <v>0.1</v>
      </c>
      <c r="I1196" t="s">
        <v>40</v>
      </c>
      <c r="J1196" s="7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1">
        <v>45180</v>
      </c>
      <c r="R1196" s="1">
        <v>45187</v>
      </c>
      <c r="S1196" t="s">
        <v>2922</v>
      </c>
    </row>
    <row r="1197" spans="1:19" x14ac:dyDescent="0.3">
      <c r="A1197" s="9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 s="5">
        <v>0.15</v>
      </c>
      <c r="I1197" t="s">
        <v>39</v>
      </c>
      <c r="J1197" s="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1">
        <v>45183</v>
      </c>
      <c r="R1197" s="1">
        <v>45188</v>
      </c>
      <c r="S1197" t="s">
        <v>2924</v>
      </c>
    </row>
    <row r="1198" spans="1:19" x14ac:dyDescent="0.3">
      <c r="A1198" s="9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 s="5">
        <v>0.15</v>
      </c>
      <c r="I1198" t="s">
        <v>40</v>
      </c>
      <c r="J1198" s="7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1">
        <v>45236</v>
      </c>
      <c r="R1198" s="1">
        <v>45241</v>
      </c>
      <c r="S1198" t="s">
        <v>2924</v>
      </c>
    </row>
    <row r="1199" spans="1:19" x14ac:dyDescent="0.3">
      <c r="A1199" s="9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 s="5">
        <v>0.15</v>
      </c>
      <c r="I1199" t="s">
        <v>42</v>
      </c>
      <c r="J1199" s="7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1">
        <v>45466</v>
      </c>
      <c r="R1199" s="1">
        <v>45473</v>
      </c>
      <c r="S1199" t="s">
        <v>2924</v>
      </c>
    </row>
    <row r="1200" spans="1:19" x14ac:dyDescent="0.3">
      <c r="A1200" s="9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 s="5">
        <v>0.1</v>
      </c>
      <c r="I1200" t="s">
        <v>37</v>
      </c>
      <c r="J1200" s="7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1">
        <v>45015</v>
      </c>
      <c r="R1200" s="1">
        <v>45025</v>
      </c>
      <c r="S1200" t="s">
        <v>2926</v>
      </c>
    </row>
    <row r="1201" spans="1:19" x14ac:dyDescent="0.3">
      <c r="A1201" s="9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 s="5">
        <v>0.1</v>
      </c>
      <c r="I1201" t="s">
        <v>40</v>
      </c>
      <c r="J1201" s="7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1">
        <v>45570</v>
      </c>
      <c r="R1201" s="1">
        <v>45580</v>
      </c>
      <c r="S1201" t="s">
        <v>2922</v>
      </c>
    </row>
    <row r="1202" spans="1:19" x14ac:dyDescent="0.3">
      <c r="A1202" s="9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 s="5">
        <v>0.15</v>
      </c>
      <c r="I1202" t="s">
        <v>37</v>
      </c>
      <c r="J1202" s="7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1">
        <v>45004</v>
      </c>
      <c r="R1202" s="1">
        <v>45014</v>
      </c>
      <c r="S1202" t="s">
        <v>2925</v>
      </c>
    </row>
    <row r="1203" spans="1:19" x14ac:dyDescent="0.3">
      <c r="A1203" s="9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 s="5">
        <v>0.05</v>
      </c>
      <c r="I1203" t="s">
        <v>37</v>
      </c>
      <c r="J1203" s="7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1">
        <v>45733</v>
      </c>
      <c r="R1203" s="1">
        <v>45737</v>
      </c>
      <c r="S1203" t="s">
        <v>2924</v>
      </c>
    </row>
    <row r="1204" spans="1:19" x14ac:dyDescent="0.3">
      <c r="A1204" s="9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 s="5">
        <v>0.15</v>
      </c>
      <c r="I1204" t="s">
        <v>39</v>
      </c>
      <c r="J1204" s="7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1">
        <v>45644</v>
      </c>
      <c r="R1204" s="1">
        <v>45654</v>
      </c>
      <c r="S1204" t="s">
        <v>2925</v>
      </c>
    </row>
    <row r="1205" spans="1:19" x14ac:dyDescent="0.3">
      <c r="A1205" s="9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 s="5">
        <v>0.15</v>
      </c>
      <c r="I1205" t="s">
        <v>37</v>
      </c>
      <c r="J1205" s="7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1">
        <v>45663</v>
      </c>
      <c r="R1205" s="1">
        <v>45665</v>
      </c>
      <c r="S1205" t="s">
        <v>2926</v>
      </c>
    </row>
    <row r="1206" spans="1:19" x14ac:dyDescent="0.3">
      <c r="A1206" s="9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 s="5">
        <v>0.05</v>
      </c>
      <c r="I1206" t="s">
        <v>37</v>
      </c>
      <c r="J1206" s="7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1">
        <v>45671</v>
      </c>
      <c r="R1206" s="1">
        <v>45677</v>
      </c>
      <c r="S1206" t="s">
        <v>2925</v>
      </c>
    </row>
    <row r="1207" spans="1:19" x14ac:dyDescent="0.3">
      <c r="A1207" s="9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 s="5">
        <v>0</v>
      </c>
      <c r="I1207" t="s">
        <v>37</v>
      </c>
      <c r="J1207" s="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1">
        <v>44952</v>
      </c>
      <c r="R1207" s="1">
        <v>44956</v>
      </c>
      <c r="S1207" t="s">
        <v>2923</v>
      </c>
    </row>
    <row r="1208" spans="1:19" x14ac:dyDescent="0.3">
      <c r="A1208" s="9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 s="5">
        <v>0.05</v>
      </c>
      <c r="I1208" t="s">
        <v>41</v>
      </c>
      <c r="J1208" s="7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1">
        <v>45508</v>
      </c>
      <c r="R1208" s="1">
        <v>45518</v>
      </c>
      <c r="S1208" t="s">
        <v>2924</v>
      </c>
    </row>
    <row r="1209" spans="1:19" x14ac:dyDescent="0.3">
      <c r="A1209" s="9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 s="5">
        <v>0.15</v>
      </c>
      <c r="I1209" t="s">
        <v>41</v>
      </c>
      <c r="J1209" s="7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1">
        <v>45335</v>
      </c>
      <c r="R1209" s="1">
        <v>45338</v>
      </c>
      <c r="S1209" t="s">
        <v>2924</v>
      </c>
    </row>
    <row r="1210" spans="1:19" x14ac:dyDescent="0.3">
      <c r="A1210" s="9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 s="5">
        <v>0.15</v>
      </c>
      <c r="I1210" t="s">
        <v>38</v>
      </c>
      <c r="J1210" s="7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1">
        <v>44968</v>
      </c>
      <c r="R1210" s="1">
        <v>44971</v>
      </c>
      <c r="S1210" t="s">
        <v>2925</v>
      </c>
    </row>
    <row r="1211" spans="1:19" x14ac:dyDescent="0.3">
      <c r="A1211" s="9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 s="5">
        <v>0.1</v>
      </c>
      <c r="I1211" t="s">
        <v>40</v>
      </c>
      <c r="J1211" s="7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1">
        <v>45460</v>
      </c>
      <c r="R1211" s="1">
        <v>45465</v>
      </c>
      <c r="S1211" t="s">
        <v>2922</v>
      </c>
    </row>
    <row r="1212" spans="1:19" x14ac:dyDescent="0.3">
      <c r="A1212" s="9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 s="5">
        <v>0.15</v>
      </c>
      <c r="I1212" t="s">
        <v>40</v>
      </c>
      <c r="J1212" s="7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1">
        <v>45449</v>
      </c>
      <c r="R1212" s="1">
        <v>45455</v>
      </c>
      <c r="S1212" t="s">
        <v>2923</v>
      </c>
    </row>
    <row r="1213" spans="1:19" x14ac:dyDescent="0.3">
      <c r="A1213" s="9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 s="5">
        <v>0.05</v>
      </c>
      <c r="I1213" t="s">
        <v>42</v>
      </c>
      <c r="J1213" s="7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1">
        <v>45256</v>
      </c>
      <c r="R1213" s="1">
        <v>45262</v>
      </c>
      <c r="S1213" t="s">
        <v>2923</v>
      </c>
    </row>
    <row r="1214" spans="1:19" x14ac:dyDescent="0.3">
      <c r="A1214" s="9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 s="5">
        <v>0.15</v>
      </c>
      <c r="I1214" t="s">
        <v>40</v>
      </c>
      <c r="J1214" s="7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1">
        <v>45389</v>
      </c>
      <c r="R1214" s="1">
        <v>45391</v>
      </c>
      <c r="S1214" t="s">
        <v>2926</v>
      </c>
    </row>
    <row r="1215" spans="1:19" x14ac:dyDescent="0.3">
      <c r="A1215" s="9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 s="5">
        <v>0</v>
      </c>
      <c r="I1215" t="s">
        <v>39</v>
      </c>
      <c r="J1215" s="7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1">
        <v>44960</v>
      </c>
      <c r="R1215" s="1">
        <v>44966</v>
      </c>
      <c r="S1215" t="s">
        <v>2926</v>
      </c>
    </row>
    <row r="1216" spans="1:19" x14ac:dyDescent="0.3">
      <c r="A1216" s="9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 s="5">
        <v>0.15</v>
      </c>
      <c r="I1216" t="s">
        <v>40</v>
      </c>
      <c r="J1216" s="7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1">
        <v>45621</v>
      </c>
      <c r="R1216" s="1">
        <v>45626</v>
      </c>
      <c r="S1216" t="s">
        <v>2922</v>
      </c>
    </row>
    <row r="1217" spans="1:19" x14ac:dyDescent="0.3">
      <c r="A1217" s="9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 s="5">
        <v>0</v>
      </c>
      <c r="I1217" t="s">
        <v>40</v>
      </c>
      <c r="J1217" s="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1">
        <v>45473</v>
      </c>
      <c r="R1217" s="1">
        <v>45476</v>
      </c>
      <c r="S1217" t="s">
        <v>2924</v>
      </c>
    </row>
    <row r="1218" spans="1:19" x14ac:dyDescent="0.3">
      <c r="A1218" s="9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 s="5">
        <v>0.15</v>
      </c>
      <c r="I1218" t="s">
        <v>42</v>
      </c>
      <c r="J1218" s="7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1">
        <v>45140</v>
      </c>
      <c r="R1218" s="1">
        <v>45149</v>
      </c>
      <c r="S1218" t="s">
        <v>2923</v>
      </c>
    </row>
    <row r="1219" spans="1:19" x14ac:dyDescent="0.3">
      <c r="A1219" s="9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 s="5">
        <v>0</v>
      </c>
      <c r="I1219" t="s">
        <v>38</v>
      </c>
      <c r="J1219" s="7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1">
        <v>45344</v>
      </c>
      <c r="R1219" s="1">
        <v>45349</v>
      </c>
      <c r="S1219" t="s">
        <v>2923</v>
      </c>
    </row>
    <row r="1220" spans="1:19" x14ac:dyDescent="0.3">
      <c r="A1220" s="9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 s="5">
        <v>0.05</v>
      </c>
      <c r="I1220" t="s">
        <v>39</v>
      </c>
      <c r="J1220" s="7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1">
        <v>45625</v>
      </c>
      <c r="R1220" s="1">
        <v>45635</v>
      </c>
      <c r="S1220" t="s">
        <v>2924</v>
      </c>
    </row>
    <row r="1221" spans="1:19" x14ac:dyDescent="0.3">
      <c r="A1221" s="9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 s="5">
        <v>0.15</v>
      </c>
      <c r="I1221" t="s">
        <v>42</v>
      </c>
      <c r="J1221" s="7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1">
        <v>45128</v>
      </c>
      <c r="R1221" s="1">
        <v>45138</v>
      </c>
      <c r="S1221" t="s">
        <v>2924</v>
      </c>
    </row>
    <row r="1222" spans="1:19" x14ac:dyDescent="0.3">
      <c r="A1222" s="9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 s="5">
        <v>0.1</v>
      </c>
      <c r="I1222" t="s">
        <v>40</v>
      </c>
      <c r="J1222" s="7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1">
        <v>45030</v>
      </c>
      <c r="R1222" s="1">
        <v>45033</v>
      </c>
      <c r="S1222" t="s">
        <v>2925</v>
      </c>
    </row>
    <row r="1223" spans="1:19" x14ac:dyDescent="0.3">
      <c r="A1223" s="9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 s="5">
        <v>0.05</v>
      </c>
      <c r="I1223" t="s">
        <v>42</v>
      </c>
      <c r="J1223" s="7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1">
        <v>44958</v>
      </c>
      <c r="R1223" s="1">
        <v>44962</v>
      </c>
      <c r="S1223" t="s">
        <v>2924</v>
      </c>
    </row>
    <row r="1224" spans="1:19" x14ac:dyDescent="0.3">
      <c r="A1224" s="9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 s="5">
        <v>0.1</v>
      </c>
      <c r="I1224" t="s">
        <v>37</v>
      </c>
      <c r="J1224" s="7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1">
        <v>45473</v>
      </c>
      <c r="R1224" s="1">
        <v>45478</v>
      </c>
      <c r="S1224" t="s">
        <v>2922</v>
      </c>
    </row>
    <row r="1225" spans="1:19" x14ac:dyDescent="0.3">
      <c r="A1225" s="9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 s="5">
        <v>0</v>
      </c>
      <c r="I1225" t="s">
        <v>38</v>
      </c>
      <c r="J1225" s="7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1">
        <v>45217</v>
      </c>
      <c r="R1225" s="1">
        <v>45220</v>
      </c>
      <c r="S1225" t="s">
        <v>2925</v>
      </c>
    </row>
    <row r="1226" spans="1:19" x14ac:dyDescent="0.3">
      <c r="A1226" s="9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 s="5">
        <v>0.05</v>
      </c>
      <c r="I1226" t="s">
        <v>42</v>
      </c>
      <c r="J1226" s="7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1">
        <v>45477</v>
      </c>
      <c r="R1226" s="1">
        <v>45486</v>
      </c>
      <c r="S1226" t="s">
        <v>2922</v>
      </c>
    </row>
    <row r="1227" spans="1:19" x14ac:dyDescent="0.3">
      <c r="A1227" s="9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 s="5">
        <v>0.15</v>
      </c>
      <c r="I1227" t="s">
        <v>40</v>
      </c>
      <c r="J1227" s="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1">
        <v>45477</v>
      </c>
      <c r="R1227" s="1">
        <v>45485</v>
      </c>
      <c r="S1227" t="s">
        <v>2922</v>
      </c>
    </row>
    <row r="1228" spans="1:19" x14ac:dyDescent="0.3">
      <c r="A1228" s="9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 s="5">
        <v>0.15</v>
      </c>
      <c r="I1228" t="s">
        <v>41</v>
      </c>
      <c r="J1228" s="7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1">
        <v>45134</v>
      </c>
      <c r="R1228" s="1">
        <v>45140</v>
      </c>
      <c r="S1228" t="s">
        <v>2924</v>
      </c>
    </row>
    <row r="1229" spans="1:19" x14ac:dyDescent="0.3">
      <c r="A1229" s="9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 s="5">
        <v>0.05</v>
      </c>
      <c r="I1229" t="s">
        <v>38</v>
      </c>
      <c r="J1229" s="7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1">
        <v>45717</v>
      </c>
      <c r="R1229" s="1">
        <v>45722</v>
      </c>
      <c r="S1229" t="s">
        <v>2926</v>
      </c>
    </row>
    <row r="1230" spans="1:19" x14ac:dyDescent="0.3">
      <c r="A1230" s="9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 s="5">
        <v>0.1</v>
      </c>
      <c r="I1230" t="s">
        <v>39</v>
      </c>
      <c r="J1230" s="7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1">
        <v>44980</v>
      </c>
      <c r="R1230" s="1">
        <v>44982</v>
      </c>
      <c r="S1230" t="s">
        <v>2925</v>
      </c>
    </row>
    <row r="1231" spans="1:19" x14ac:dyDescent="0.3">
      <c r="A1231" s="9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 s="5">
        <v>0</v>
      </c>
      <c r="I1231" t="s">
        <v>42</v>
      </c>
      <c r="J1231" s="7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1">
        <v>44937</v>
      </c>
      <c r="R1231" s="1">
        <v>44946</v>
      </c>
      <c r="S1231" t="s">
        <v>2922</v>
      </c>
    </row>
    <row r="1232" spans="1:19" x14ac:dyDescent="0.3">
      <c r="A1232" s="9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 s="5">
        <v>0</v>
      </c>
      <c r="I1232" t="s">
        <v>40</v>
      </c>
      <c r="J1232" s="7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1">
        <v>45398</v>
      </c>
      <c r="R1232" s="1">
        <v>45402</v>
      </c>
      <c r="S1232" t="s">
        <v>2926</v>
      </c>
    </row>
    <row r="1233" spans="1:19" x14ac:dyDescent="0.3">
      <c r="A1233" s="9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 s="5">
        <v>0.05</v>
      </c>
      <c r="I1233" t="s">
        <v>41</v>
      </c>
      <c r="J1233" s="7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1">
        <v>45360</v>
      </c>
      <c r="R1233" s="1">
        <v>45363</v>
      </c>
      <c r="S1233" t="s">
        <v>2925</v>
      </c>
    </row>
    <row r="1234" spans="1:19" x14ac:dyDescent="0.3">
      <c r="A1234" s="9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 s="5">
        <v>0</v>
      </c>
      <c r="I1234" t="s">
        <v>42</v>
      </c>
      <c r="J1234" s="7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1">
        <v>45572</v>
      </c>
      <c r="R1234" s="1">
        <v>45576</v>
      </c>
      <c r="S1234" t="s">
        <v>2923</v>
      </c>
    </row>
    <row r="1235" spans="1:19" x14ac:dyDescent="0.3">
      <c r="A1235" s="9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 s="5">
        <v>0</v>
      </c>
      <c r="I1235" t="s">
        <v>40</v>
      </c>
      <c r="J1235" s="7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1">
        <v>45205</v>
      </c>
      <c r="R1235" s="1">
        <v>45214</v>
      </c>
      <c r="S1235" t="s">
        <v>2926</v>
      </c>
    </row>
    <row r="1236" spans="1:19" x14ac:dyDescent="0.3">
      <c r="A1236" s="9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 s="5">
        <v>0.05</v>
      </c>
      <c r="I1236" t="s">
        <v>38</v>
      </c>
      <c r="J1236" s="7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1">
        <v>45024</v>
      </c>
      <c r="R1236" s="1">
        <v>45029</v>
      </c>
      <c r="S1236" t="s">
        <v>2926</v>
      </c>
    </row>
    <row r="1237" spans="1:19" x14ac:dyDescent="0.3">
      <c r="A1237" s="9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 s="5">
        <v>0.15</v>
      </c>
      <c r="I1237" t="s">
        <v>38</v>
      </c>
      <c r="J1237" s="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1">
        <v>45342</v>
      </c>
      <c r="R1237" s="1">
        <v>45349</v>
      </c>
      <c r="S1237" t="s">
        <v>2923</v>
      </c>
    </row>
    <row r="1238" spans="1:19" x14ac:dyDescent="0.3">
      <c r="A1238" s="9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 s="5">
        <v>0.15</v>
      </c>
      <c r="I1238" t="s">
        <v>39</v>
      </c>
      <c r="J1238" s="7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1">
        <v>44956</v>
      </c>
      <c r="R1238" s="1">
        <v>44965</v>
      </c>
      <c r="S1238" t="s">
        <v>2926</v>
      </c>
    </row>
    <row r="1239" spans="1:19" x14ac:dyDescent="0.3">
      <c r="A1239" s="9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 s="5">
        <v>0</v>
      </c>
      <c r="I1239" t="s">
        <v>38</v>
      </c>
      <c r="J1239" s="7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1">
        <v>45058</v>
      </c>
      <c r="R1239" s="1">
        <v>45066</v>
      </c>
      <c r="S1239" t="s">
        <v>2923</v>
      </c>
    </row>
    <row r="1240" spans="1:19" x14ac:dyDescent="0.3">
      <c r="A1240" s="9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 s="5">
        <v>0.15</v>
      </c>
      <c r="I1240" t="s">
        <v>37</v>
      </c>
      <c r="J1240" s="7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1">
        <v>45299</v>
      </c>
      <c r="R1240" s="1">
        <v>45303</v>
      </c>
      <c r="S1240" t="s">
        <v>2923</v>
      </c>
    </row>
    <row r="1241" spans="1:19" x14ac:dyDescent="0.3">
      <c r="A1241" s="9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 s="5">
        <v>0.05</v>
      </c>
      <c r="I1241" t="s">
        <v>38</v>
      </c>
      <c r="J1241" s="7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1">
        <v>45448</v>
      </c>
      <c r="R1241" s="1">
        <v>45451</v>
      </c>
      <c r="S1241" t="s">
        <v>2924</v>
      </c>
    </row>
    <row r="1242" spans="1:19" x14ac:dyDescent="0.3">
      <c r="A1242" s="9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 s="5">
        <v>0.1</v>
      </c>
      <c r="I1242" t="s">
        <v>41</v>
      </c>
      <c r="J1242" s="7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1">
        <v>45798</v>
      </c>
      <c r="R1242" s="1">
        <v>45800</v>
      </c>
      <c r="S1242" t="s">
        <v>2922</v>
      </c>
    </row>
    <row r="1243" spans="1:19" x14ac:dyDescent="0.3">
      <c r="A1243" s="9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 s="5">
        <v>0</v>
      </c>
      <c r="I1243" t="s">
        <v>38</v>
      </c>
      <c r="J1243" s="7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1">
        <v>45798</v>
      </c>
      <c r="R1243" s="1">
        <v>45803</v>
      </c>
      <c r="S1243" t="s">
        <v>2922</v>
      </c>
    </row>
    <row r="1244" spans="1:19" x14ac:dyDescent="0.3">
      <c r="A1244" s="9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 s="5">
        <v>0.05</v>
      </c>
      <c r="I1244" t="s">
        <v>42</v>
      </c>
      <c r="J1244" s="7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1">
        <v>44990</v>
      </c>
      <c r="R1244" s="1">
        <v>44996</v>
      </c>
      <c r="S1244" t="s">
        <v>2922</v>
      </c>
    </row>
    <row r="1245" spans="1:19" x14ac:dyDescent="0.3">
      <c r="A1245" s="9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 s="5">
        <v>0.05</v>
      </c>
      <c r="I1245" t="s">
        <v>38</v>
      </c>
      <c r="J1245" s="7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1">
        <v>45592</v>
      </c>
      <c r="R1245" s="1">
        <v>45598</v>
      </c>
      <c r="S1245" t="s">
        <v>2923</v>
      </c>
    </row>
    <row r="1246" spans="1:19" x14ac:dyDescent="0.3">
      <c r="A1246" s="9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 s="5">
        <v>0.1</v>
      </c>
      <c r="I1246" t="s">
        <v>37</v>
      </c>
      <c r="J1246" s="7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1">
        <v>45740</v>
      </c>
      <c r="R1246" s="1">
        <v>45745</v>
      </c>
      <c r="S1246" t="s">
        <v>2924</v>
      </c>
    </row>
    <row r="1247" spans="1:19" x14ac:dyDescent="0.3">
      <c r="A1247" s="9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 s="5">
        <v>0.05</v>
      </c>
      <c r="I1247" t="s">
        <v>38</v>
      </c>
      <c r="J1247" s="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1">
        <v>45556</v>
      </c>
      <c r="R1247" s="1">
        <v>45562</v>
      </c>
      <c r="S1247" t="s">
        <v>2926</v>
      </c>
    </row>
    <row r="1248" spans="1:19" x14ac:dyDescent="0.3">
      <c r="A1248" s="9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 s="5">
        <v>0.05</v>
      </c>
      <c r="I1248" t="s">
        <v>42</v>
      </c>
      <c r="J1248" s="7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1">
        <v>45795</v>
      </c>
      <c r="R1248" s="1">
        <v>45804</v>
      </c>
      <c r="S1248" t="s">
        <v>2924</v>
      </c>
    </row>
    <row r="1249" spans="1:19" x14ac:dyDescent="0.3">
      <c r="A1249" s="9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 s="5">
        <v>0.1</v>
      </c>
      <c r="I1249" t="s">
        <v>39</v>
      </c>
      <c r="J1249" s="7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1">
        <v>45484</v>
      </c>
      <c r="R1249" s="1">
        <v>45487</v>
      </c>
      <c r="S1249" t="s">
        <v>2922</v>
      </c>
    </row>
    <row r="1250" spans="1:19" x14ac:dyDescent="0.3">
      <c r="A1250" s="9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 s="5">
        <v>0.05</v>
      </c>
      <c r="I1250" t="s">
        <v>40</v>
      </c>
      <c r="J1250" s="7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1">
        <v>45684</v>
      </c>
      <c r="R1250" s="1">
        <v>45692</v>
      </c>
      <c r="S1250" t="s">
        <v>2924</v>
      </c>
    </row>
    <row r="1251" spans="1:19" x14ac:dyDescent="0.3">
      <c r="A1251" s="9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 s="5">
        <v>0</v>
      </c>
      <c r="I1251" t="s">
        <v>42</v>
      </c>
      <c r="J1251" s="7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1">
        <v>45256</v>
      </c>
      <c r="R1251" s="1">
        <v>45266</v>
      </c>
      <c r="S1251" t="s">
        <v>2922</v>
      </c>
    </row>
    <row r="1252" spans="1:19" x14ac:dyDescent="0.3">
      <c r="A1252" s="9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 s="5">
        <v>0.15</v>
      </c>
      <c r="I1252" t="s">
        <v>37</v>
      </c>
      <c r="J1252" s="7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1">
        <v>45445</v>
      </c>
      <c r="R1252" s="1">
        <v>45447</v>
      </c>
      <c r="S1252" t="s">
        <v>2925</v>
      </c>
    </row>
    <row r="1253" spans="1:19" x14ac:dyDescent="0.3">
      <c r="A1253" s="9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 s="5">
        <v>0.05</v>
      </c>
      <c r="I1253" t="s">
        <v>39</v>
      </c>
      <c r="J1253" s="7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1">
        <v>44943</v>
      </c>
      <c r="R1253" s="1">
        <v>44950</v>
      </c>
      <c r="S1253" t="s">
        <v>2924</v>
      </c>
    </row>
    <row r="1254" spans="1:19" x14ac:dyDescent="0.3">
      <c r="A1254" s="9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 s="5">
        <v>0.05</v>
      </c>
      <c r="I1254" t="s">
        <v>39</v>
      </c>
      <c r="J1254" s="7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1">
        <v>45780</v>
      </c>
      <c r="R1254" s="1">
        <v>45788</v>
      </c>
      <c r="S1254" t="s">
        <v>2924</v>
      </c>
    </row>
    <row r="1255" spans="1:19" x14ac:dyDescent="0.3">
      <c r="A1255" s="9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 s="5">
        <v>0.15</v>
      </c>
      <c r="I1255" t="s">
        <v>37</v>
      </c>
      <c r="J1255" s="7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1">
        <v>45662</v>
      </c>
      <c r="R1255" s="1">
        <v>45670</v>
      </c>
      <c r="S1255" t="s">
        <v>2924</v>
      </c>
    </row>
    <row r="1256" spans="1:19" x14ac:dyDescent="0.3">
      <c r="A1256" s="9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 s="5">
        <v>0</v>
      </c>
      <c r="I1256" t="s">
        <v>41</v>
      </c>
      <c r="J1256" s="7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1">
        <v>45342</v>
      </c>
      <c r="R1256" s="1">
        <v>45352</v>
      </c>
      <c r="S1256" t="s">
        <v>2922</v>
      </c>
    </row>
    <row r="1257" spans="1:19" x14ac:dyDescent="0.3">
      <c r="A1257" s="9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 s="5">
        <v>0.15</v>
      </c>
      <c r="I1257" t="s">
        <v>38</v>
      </c>
      <c r="J1257" s="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1">
        <v>45286</v>
      </c>
      <c r="R1257" s="1">
        <v>45295</v>
      </c>
      <c r="S1257" t="s">
        <v>2924</v>
      </c>
    </row>
    <row r="1258" spans="1:19" x14ac:dyDescent="0.3">
      <c r="A1258" s="9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 s="5">
        <v>0.1</v>
      </c>
      <c r="I1258" t="s">
        <v>42</v>
      </c>
      <c r="J1258" s="7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1">
        <v>44992</v>
      </c>
      <c r="R1258" s="1">
        <v>44997</v>
      </c>
      <c r="S1258" t="s">
        <v>2924</v>
      </c>
    </row>
    <row r="1259" spans="1:19" x14ac:dyDescent="0.3">
      <c r="A1259" s="9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 s="5">
        <v>0.15</v>
      </c>
      <c r="I1259" t="s">
        <v>38</v>
      </c>
      <c r="J1259" s="7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1">
        <v>45548</v>
      </c>
      <c r="R1259" s="1">
        <v>45557</v>
      </c>
      <c r="S1259" t="s">
        <v>2924</v>
      </c>
    </row>
    <row r="1260" spans="1:19" x14ac:dyDescent="0.3">
      <c r="A1260" s="9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 s="5">
        <v>0</v>
      </c>
      <c r="I1260" t="s">
        <v>37</v>
      </c>
      <c r="J1260" s="7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1">
        <v>45293</v>
      </c>
      <c r="R1260" s="1">
        <v>45303</v>
      </c>
      <c r="S1260" t="s">
        <v>2922</v>
      </c>
    </row>
    <row r="1261" spans="1:19" x14ac:dyDescent="0.3">
      <c r="A1261" s="9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 s="5">
        <v>0.1</v>
      </c>
      <c r="I1261" t="s">
        <v>41</v>
      </c>
      <c r="J1261" s="7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1">
        <v>45696</v>
      </c>
      <c r="R1261" s="1">
        <v>45706</v>
      </c>
      <c r="S1261" t="s">
        <v>2923</v>
      </c>
    </row>
    <row r="1262" spans="1:19" x14ac:dyDescent="0.3">
      <c r="A1262" s="9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 s="5">
        <v>0</v>
      </c>
      <c r="I1262" t="s">
        <v>40</v>
      </c>
      <c r="J1262" s="7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1">
        <v>45720</v>
      </c>
      <c r="R1262" s="1">
        <v>45728</v>
      </c>
      <c r="S1262" t="s">
        <v>2923</v>
      </c>
    </row>
    <row r="1263" spans="1:19" x14ac:dyDescent="0.3">
      <c r="A1263" s="9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 s="5">
        <v>0.05</v>
      </c>
      <c r="I1263" t="s">
        <v>39</v>
      </c>
      <c r="J1263" s="7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1">
        <v>45363</v>
      </c>
      <c r="R1263" s="1">
        <v>45372</v>
      </c>
      <c r="S1263" t="s">
        <v>2925</v>
      </c>
    </row>
    <row r="1264" spans="1:19" x14ac:dyDescent="0.3">
      <c r="A1264" s="9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 s="5">
        <v>0.05</v>
      </c>
      <c r="I1264" t="s">
        <v>40</v>
      </c>
      <c r="J1264" s="7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1">
        <v>45476</v>
      </c>
      <c r="R1264" s="1">
        <v>45480</v>
      </c>
      <c r="S1264" t="s">
        <v>2922</v>
      </c>
    </row>
    <row r="1265" spans="1:19" x14ac:dyDescent="0.3">
      <c r="A1265" s="9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 s="5">
        <v>0.1</v>
      </c>
      <c r="I1265" t="s">
        <v>41</v>
      </c>
      <c r="J1265" s="7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1">
        <v>45662</v>
      </c>
      <c r="R1265" s="1">
        <v>45670</v>
      </c>
      <c r="S1265" t="s">
        <v>2924</v>
      </c>
    </row>
    <row r="1266" spans="1:19" x14ac:dyDescent="0.3">
      <c r="A1266" s="9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 s="5">
        <v>0.05</v>
      </c>
      <c r="I1266" t="s">
        <v>42</v>
      </c>
      <c r="J1266" s="7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1">
        <v>45372</v>
      </c>
      <c r="R1266" s="1">
        <v>45379</v>
      </c>
      <c r="S1266" t="s">
        <v>2922</v>
      </c>
    </row>
    <row r="1267" spans="1:19" x14ac:dyDescent="0.3">
      <c r="A1267" s="9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 s="5">
        <v>0.1</v>
      </c>
      <c r="I1267" t="s">
        <v>39</v>
      </c>
      <c r="J1267" s="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1">
        <v>45744</v>
      </c>
      <c r="R1267" s="1">
        <v>45750</v>
      </c>
      <c r="S1267" t="s">
        <v>2925</v>
      </c>
    </row>
    <row r="1268" spans="1:19" x14ac:dyDescent="0.3">
      <c r="A1268" s="9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 s="5">
        <v>0.1</v>
      </c>
      <c r="I1268" t="s">
        <v>42</v>
      </c>
      <c r="J1268" s="7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1">
        <v>45760</v>
      </c>
      <c r="R1268" s="1">
        <v>45765</v>
      </c>
      <c r="S1268" t="s">
        <v>2925</v>
      </c>
    </row>
    <row r="1269" spans="1:19" x14ac:dyDescent="0.3">
      <c r="A1269" s="9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 s="5">
        <v>0.05</v>
      </c>
      <c r="I1269" t="s">
        <v>42</v>
      </c>
      <c r="J1269" s="7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1">
        <v>45412</v>
      </c>
      <c r="R1269" s="1">
        <v>45421</v>
      </c>
      <c r="S1269" t="s">
        <v>2926</v>
      </c>
    </row>
    <row r="1270" spans="1:19" x14ac:dyDescent="0.3">
      <c r="A1270" s="9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 s="5">
        <v>0.15</v>
      </c>
      <c r="I1270" t="s">
        <v>37</v>
      </c>
      <c r="J1270" s="7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1">
        <v>45703</v>
      </c>
      <c r="R1270" s="1">
        <v>45707</v>
      </c>
      <c r="S1270" t="s">
        <v>2923</v>
      </c>
    </row>
    <row r="1271" spans="1:19" x14ac:dyDescent="0.3">
      <c r="A1271" s="9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 s="5">
        <v>0.1</v>
      </c>
      <c r="I1271" t="s">
        <v>37</v>
      </c>
      <c r="J1271" s="7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1">
        <v>45706</v>
      </c>
      <c r="R1271" s="1">
        <v>45711</v>
      </c>
      <c r="S1271" t="s">
        <v>2926</v>
      </c>
    </row>
    <row r="1272" spans="1:19" x14ac:dyDescent="0.3">
      <c r="A1272" s="9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 s="5">
        <v>0</v>
      </c>
      <c r="I1272" t="s">
        <v>39</v>
      </c>
      <c r="J1272" s="7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1">
        <v>45177</v>
      </c>
      <c r="R1272" s="1">
        <v>45179</v>
      </c>
      <c r="S1272" t="s">
        <v>2926</v>
      </c>
    </row>
    <row r="1273" spans="1:19" x14ac:dyDescent="0.3">
      <c r="A1273" s="9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 s="5">
        <v>0</v>
      </c>
      <c r="I1273" t="s">
        <v>39</v>
      </c>
      <c r="J1273" s="7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1">
        <v>45326</v>
      </c>
      <c r="R1273" s="1">
        <v>45328</v>
      </c>
      <c r="S1273" t="s">
        <v>2925</v>
      </c>
    </row>
    <row r="1274" spans="1:19" x14ac:dyDescent="0.3">
      <c r="A1274" s="9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 s="5">
        <v>0.15</v>
      </c>
      <c r="I1274" t="s">
        <v>41</v>
      </c>
      <c r="J1274" s="7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1">
        <v>45621</v>
      </c>
      <c r="R1274" s="1">
        <v>45631</v>
      </c>
      <c r="S1274" t="s">
        <v>2924</v>
      </c>
    </row>
    <row r="1275" spans="1:19" x14ac:dyDescent="0.3">
      <c r="A1275" s="9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 s="5">
        <v>0</v>
      </c>
      <c r="I1275" t="s">
        <v>39</v>
      </c>
      <c r="J1275" s="7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1">
        <v>45656</v>
      </c>
      <c r="R1275" s="1">
        <v>45659</v>
      </c>
      <c r="S1275" t="s">
        <v>2924</v>
      </c>
    </row>
    <row r="1276" spans="1:19" x14ac:dyDescent="0.3">
      <c r="A1276" s="9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 s="5">
        <v>0.1</v>
      </c>
      <c r="I1276" t="s">
        <v>37</v>
      </c>
      <c r="J1276" s="7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1">
        <v>45174</v>
      </c>
      <c r="R1276" s="1">
        <v>45179</v>
      </c>
      <c r="S1276" t="s">
        <v>2926</v>
      </c>
    </row>
    <row r="1277" spans="1:19" x14ac:dyDescent="0.3">
      <c r="A1277" s="9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 s="5">
        <v>0</v>
      </c>
      <c r="I1277" t="s">
        <v>39</v>
      </c>
      <c r="J1277" s="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1">
        <v>45139</v>
      </c>
      <c r="R1277" s="1">
        <v>45149</v>
      </c>
      <c r="S1277" t="s">
        <v>2926</v>
      </c>
    </row>
    <row r="1278" spans="1:19" x14ac:dyDescent="0.3">
      <c r="A1278" s="9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 s="5">
        <v>0.15</v>
      </c>
      <c r="I1278" t="s">
        <v>40</v>
      </c>
      <c r="J1278" s="7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1">
        <v>44932</v>
      </c>
      <c r="R1278" s="1">
        <v>44934</v>
      </c>
      <c r="S1278" t="s">
        <v>2925</v>
      </c>
    </row>
    <row r="1279" spans="1:19" x14ac:dyDescent="0.3">
      <c r="A1279" s="9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 s="5">
        <v>0</v>
      </c>
      <c r="I1279" t="s">
        <v>41</v>
      </c>
      <c r="J1279" s="7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1">
        <v>45779</v>
      </c>
      <c r="R1279" s="1">
        <v>45783</v>
      </c>
      <c r="S1279" t="s">
        <v>2925</v>
      </c>
    </row>
    <row r="1280" spans="1:19" x14ac:dyDescent="0.3">
      <c r="A1280" s="9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 s="5">
        <v>0.05</v>
      </c>
      <c r="I1280" t="s">
        <v>37</v>
      </c>
      <c r="J1280" s="7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1">
        <v>45281</v>
      </c>
      <c r="R1280" s="1">
        <v>45288</v>
      </c>
      <c r="S1280" t="s">
        <v>2926</v>
      </c>
    </row>
    <row r="1281" spans="1:19" x14ac:dyDescent="0.3">
      <c r="A1281" s="9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 s="5">
        <v>0</v>
      </c>
      <c r="I1281" t="s">
        <v>39</v>
      </c>
      <c r="J1281" s="7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1">
        <v>45545</v>
      </c>
      <c r="R1281" s="1">
        <v>45549</v>
      </c>
      <c r="S1281" t="s">
        <v>2922</v>
      </c>
    </row>
    <row r="1282" spans="1:19" x14ac:dyDescent="0.3">
      <c r="A1282" s="9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 s="5">
        <v>0.15</v>
      </c>
      <c r="I1282" t="s">
        <v>37</v>
      </c>
      <c r="J1282" s="7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1">
        <v>45387</v>
      </c>
      <c r="R1282" s="1">
        <v>45392</v>
      </c>
      <c r="S1282" t="s">
        <v>2925</v>
      </c>
    </row>
    <row r="1283" spans="1:19" x14ac:dyDescent="0.3">
      <c r="A1283" s="9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 s="5">
        <v>0.15</v>
      </c>
      <c r="I1283" t="s">
        <v>41</v>
      </c>
      <c r="J1283" s="7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1">
        <v>45133</v>
      </c>
      <c r="R1283" s="1">
        <v>45138</v>
      </c>
      <c r="S1283" t="s">
        <v>2922</v>
      </c>
    </row>
    <row r="1284" spans="1:19" x14ac:dyDescent="0.3">
      <c r="A1284" s="9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 s="5">
        <v>0.05</v>
      </c>
      <c r="I1284" t="s">
        <v>42</v>
      </c>
      <c r="J1284" s="7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1">
        <v>45242</v>
      </c>
      <c r="R1284" s="1">
        <v>45244</v>
      </c>
      <c r="S1284" t="s">
        <v>2922</v>
      </c>
    </row>
    <row r="1285" spans="1:19" x14ac:dyDescent="0.3">
      <c r="A1285" s="9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 s="5">
        <v>0.05</v>
      </c>
      <c r="I1285" t="s">
        <v>41</v>
      </c>
      <c r="J1285" s="7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1">
        <v>45765</v>
      </c>
      <c r="R1285" s="1">
        <v>45767</v>
      </c>
      <c r="S1285" t="s">
        <v>2925</v>
      </c>
    </row>
    <row r="1286" spans="1:19" x14ac:dyDescent="0.3">
      <c r="A1286" s="9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 s="5">
        <v>0.05</v>
      </c>
      <c r="I1286" t="s">
        <v>38</v>
      </c>
      <c r="J1286" s="7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1">
        <v>45150</v>
      </c>
      <c r="R1286" s="1">
        <v>45157</v>
      </c>
      <c r="S1286" t="s">
        <v>2923</v>
      </c>
    </row>
    <row r="1287" spans="1:19" x14ac:dyDescent="0.3">
      <c r="A1287" s="9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 s="5">
        <v>0.1</v>
      </c>
      <c r="I1287" t="s">
        <v>38</v>
      </c>
      <c r="J1287" s="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1">
        <v>45638</v>
      </c>
      <c r="R1287" s="1">
        <v>45647</v>
      </c>
      <c r="S1287" t="s">
        <v>2926</v>
      </c>
    </row>
    <row r="1288" spans="1:19" x14ac:dyDescent="0.3">
      <c r="A1288" s="9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 s="5">
        <v>0.05</v>
      </c>
      <c r="I1288" t="s">
        <v>39</v>
      </c>
      <c r="J1288" s="7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1">
        <v>45784</v>
      </c>
      <c r="R1288" s="1">
        <v>45790</v>
      </c>
      <c r="S1288" t="s">
        <v>2926</v>
      </c>
    </row>
    <row r="1289" spans="1:19" x14ac:dyDescent="0.3">
      <c r="A1289" s="9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 s="5">
        <v>0</v>
      </c>
      <c r="I1289" t="s">
        <v>42</v>
      </c>
      <c r="J1289" s="7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1">
        <v>45726</v>
      </c>
      <c r="R1289" s="1">
        <v>45729</v>
      </c>
      <c r="S1289" t="s">
        <v>2922</v>
      </c>
    </row>
    <row r="1290" spans="1:19" x14ac:dyDescent="0.3">
      <c r="A1290" s="9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 s="5">
        <v>0</v>
      </c>
      <c r="I1290" t="s">
        <v>40</v>
      </c>
      <c r="J1290" s="7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1">
        <v>45809</v>
      </c>
      <c r="R1290" s="1">
        <v>45818</v>
      </c>
      <c r="S1290" t="s">
        <v>2922</v>
      </c>
    </row>
    <row r="1291" spans="1:19" x14ac:dyDescent="0.3">
      <c r="A1291" s="9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 s="5">
        <v>0.15</v>
      </c>
      <c r="I1291" t="s">
        <v>38</v>
      </c>
      <c r="J1291" s="7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1">
        <v>45796</v>
      </c>
      <c r="R1291" s="1">
        <v>45798</v>
      </c>
      <c r="S1291" t="s">
        <v>2926</v>
      </c>
    </row>
    <row r="1292" spans="1:19" x14ac:dyDescent="0.3">
      <c r="A1292" s="9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 s="5">
        <v>0</v>
      </c>
      <c r="I1292" t="s">
        <v>39</v>
      </c>
      <c r="J1292" s="7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1">
        <v>44965</v>
      </c>
      <c r="R1292" s="1">
        <v>44973</v>
      </c>
      <c r="S1292" t="s">
        <v>2922</v>
      </c>
    </row>
    <row r="1293" spans="1:19" x14ac:dyDescent="0.3">
      <c r="A1293" s="9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 s="5">
        <v>0.1</v>
      </c>
      <c r="I1293" t="s">
        <v>40</v>
      </c>
      <c r="J1293" s="7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1">
        <v>45771</v>
      </c>
      <c r="R1293" s="1">
        <v>45780</v>
      </c>
      <c r="S1293" t="s">
        <v>2925</v>
      </c>
    </row>
    <row r="1294" spans="1:19" x14ac:dyDescent="0.3">
      <c r="A1294" s="9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 s="5">
        <v>0.1</v>
      </c>
      <c r="I1294" t="s">
        <v>41</v>
      </c>
      <c r="J1294" s="7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1">
        <v>45536</v>
      </c>
      <c r="R1294" s="1">
        <v>45543</v>
      </c>
      <c r="S1294" t="s">
        <v>2924</v>
      </c>
    </row>
    <row r="1295" spans="1:19" x14ac:dyDescent="0.3">
      <c r="A1295" s="9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 s="5">
        <v>0.05</v>
      </c>
      <c r="I1295" t="s">
        <v>41</v>
      </c>
      <c r="J1295" s="7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1">
        <v>45603</v>
      </c>
      <c r="R1295" s="1">
        <v>45609</v>
      </c>
      <c r="S1295" t="s">
        <v>2925</v>
      </c>
    </row>
    <row r="1296" spans="1:19" x14ac:dyDescent="0.3">
      <c r="A1296" s="9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 s="5">
        <v>0</v>
      </c>
      <c r="I1296" t="s">
        <v>40</v>
      </c>
      <c r="J1296" s="7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1">
        <v>45625</v>
      </c>
      <c r="R1296" s="1">
        <v>45628</v>
      </c>
      <c r="S1296" t="s">
        <v>2922</v>
      </c>
    </row>
    <row r="1297" spans="1:19" x14ac:dyDescent="0.3">
      <c r="A1297" s="9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 s="5">
        <v>0</v>
      </c>
      <c r="I1297" t="s">
        <v>42</v>
      </c>
      <c r="J1297" s="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1">
        <v>45026</v>
      </c>
      <c r="R1297" s="1">
        <v>45036</v>
      </c>
      <c r="S1297" t="s">
        <v>2926</v>
      </c>
    </row>
    <row r="1298" spans="1:19" x14ac:dyDescent="0.3">
      <c r="A1298" s="9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 s="5">
        <v>0</v>
      </c>
      <c r="I1298" t="s">
        <v>38</v>
      </c>
      <c r="J1298" s="7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1">
        <v>45301</v>
      </c>
      <c r="R1298" s="1">
        <v>45307</v>
      </c>
      <c r="S1298" t="s">
        <v>2924</v>
      </c>
    </row>
    <row r="1299" spans="1:19" x14ac:dyDescent="0.3">
      <c r="A1299" s="9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 s="5">
        <v>0.05</v>
      </c>
      <c r="I1299" t="s">
        <v>38</v>
      </c>
      <c r="J1299" s="7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1">
        <v>45794</v>
      </c>
      <c r="R1299" s="1">
        <v>45800</v>
      </c>
      <c r="S1299" t="s">
        <v>2923</v>
      </c>
    </row>
    <row r="1300" spans="1:19" x14ac:dyDescent="0.3">
      <c r="A1300" s="9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 s="5">
        <v>0.15</v>
      </c>
      <c r="I1300" t="s">
        <v>38</v>
      </c>
      <c r="J1300" s="7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1">
        <v>45499</v>
      </c>
      <c r="R1300" s="1">
        <v>45503</v>
      </c>
      <c r="S1300" t="s">
        <v>2925</v>
      </c>
    </row>
    <row r="1301" spans="1:19" x14ac:dyDescent="0.3">
      <c r="A1301" s="9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 s="5">
        <v>0.15</v>
      </c>
      <c r="I1301" t="s">
        <v>39</v>
      </c>
      <c r="J1301" s="7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1">
        <v>45652</v>
      </c>
      <c r="R1301" s="1">
        <v>45660</v>
      </c>
      <c r="S1301" t="s">
        <v>2923</v>
      </c>
    </row>
    <row r="1302" spans="1:19" x14ac:dyDescent="0.3">
      <c r="A1302" s="9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 s="5">
        <v>0</v>
      </c>
      <c r="I1302" t="s">
        <v>41</v>
      </c>
      <c r="J1302" s="7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1">
        <v>45680</v>
      </c>
      <c r="R1302" s="1">
        <v>45688</v>
      </c>
      <c r="S1302" t="s">
        <v>2922</v>
      </c>
    </row>
    <row r="1303" spans="1:19" x14ac:dyDescent="0.3">
      <c r="A1303" s="9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 s="5">
        <v>0.1</v>
      </c>
      <c r="I1303" t="s">
        <v>38</v>
      </c>
      <c r="J1303" s="7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1">
        <v>45376</v>
      </c>
      <c r="R1303" s="1">
        <v>45383</v>
      </c>
      <c r="S1303" t="s">
        <v>2923</v>
      </c>
    </row>
    <row r="1304" spans="1:19" x14ac:dyDescent="0.3">
      <c r="A1304" s="9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 s="5">
        <v>0</v>
      </c>
      <c r="I1304" t="s">
        <v>38</v>
      </c>
      <c r="J1304" s="7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1">
        <v>45720</v>
      </c>
      <c r="R1304" s="1">
        <v>45727</v>
      </c>
      <c r="S1304" t="s">
        <v>2925</v>
      </c>
    </row>
    <row r="1305" spans="1:19" x14ac:dyDescent="0.3">
      <c r="A1305" s="9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 s="5">
        <v>0.1</v>
      </c>
      <c r="I1305" t="s">
        <v>40</v>
      </c>
      <c r="J1305" s="7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1">
        <v>45219</v>
      </c>
      <c r="R1305" s="1">
        <v>45223</v>
      </c>
      <c r="S1305" t="s">
        <v>2923</v>
      </c>
    </row>
    <row r="1306" spans="1:19" x14ac:dyDescent="0.3">
      <c r="A1306" s="9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 s="5">
        <v>0.15</v>
      </c>
      <c r="I1306" t="s">
        <v>39</v>
      </c>
      <c r="J1306" s="7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1">
        <v>45554</v>
      </c>
      <c r="R1306" s="1">
        <v>45563</v>
      </c>
      <c r="S1306" t="s">
        <v>2925</v>
      </c>
    </row>
    <row r="1307" spans="1:19" x14ac:dyDescent="0.3">
      <c r="A1307" s="9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 s="5">
        <v>0</v>
      </c>
      <c r="I1307" t="s">
        <v>39</v>
      </c>
      <c r="J1307" s="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1">
        <v>45192</v>
      </c>
      <c r="R1307" s="1">
        <v>45195</v>
      </c>
      <c r="S1307" t="s">
        <v>2924</v>
      </c>
    </row>
    <row r="1308" spans="1:19" x14ac:dyDescent="0.3">
      <c r="A1308" s="9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 s="5">
        <v>0</v>
      </c>
      <c r="I1308" t="s">
        <v>38</v>
      </c>
      <c r="J1308" s="7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1">
        <v>45657</v>
      </c>
      <c r="R1308" s="1">
        <v>45659</v>
      </c>
      <c r="S1308" t="s">
        <v>2922</v>
      </c>
    </row>
    <row r="1309" spans="1:19" x14ac:dyDescent="0.3">
      <c r="A1309" s="9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 s="5">
        <v>0.05</v>
      </c>
      <c r="I1309" t="s">
        <v>37</v>
      </c>
      <c r="J1309" s="7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1">
        <v>45314</v>
      </c>
      <c r="R1309" s="1">
        <v>45322</v>
      </c>
      <c r="S1309" t="s">
        <v>2924</v>
      </c>
    </row>
    <row r="1310" spans="1:19" x14ac:dyDescent="0.3">
      <c r="A1310" s="9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 s="5">
        <v>0.1</v>
      </c>
      <c r="I1310" t="s">
        <v>39</v>
      </c>
      <c r="J1310" s="7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1">
        <v>45090</v>
      </c>
      <c r="R1310" s="1">
        <v>45100</v>
      </c>
      <c r="S1310" t="s">
        <v>2922</v>
      </c>
    </row>
    <row r="1311" spans="1:19" x14ac:dyDescent="0.3">
      <c r="A1311" s="9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 s="5">
        <v>0</v>
      </c>
      <c r="I1311" t="s">
        <v>41</v>
      </c>
      <c r="J1311" s="7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1">
        <v>45108</v>
      </c>
      <c r="R1311" s="1">
        <v>45113</v>
      </c>
      <c r="S1311" t="s">
        <v>2922</v>
      </c>
    </row>
    <row r="1312" spans="1:19" x14ac:dyDescent="0.3">
      <c r="A1312" s="9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 s="5">
        <v>0.15</v>
      </c>
      <c r="I1312" t="s">
        <v>40</v>
      </c>
      <c r="J1312" s="7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1">
        <v>45738</v>
      </c>
      <c r="R1312" s="1">
        <v>45741</v>
      </c>
      <c r="S1312" t="s">
        <v>2923</v>
      </c>
    </row>
    <row r="1313" spans="1:19" x14ac:dyDescent="0.3">
      <c r="A1313" s="9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 s="5">
        <v>0.15</v>
      </c>
      <c r="I1313" t="s">
        <v>41</v>
      </c>
      <c r="J1313" s="7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1">
        <v>45695</v>
      </c>
      <c r="R1313" s="1">
        <v>45703</v>
      </c>
      <c r="S1313" t="s">
        <v>2923</v>
      </c>
    </row>
    <row r="1314" spans="1:19" x14ac:dyDescent="0.3">
      <c r="A1314" s="9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 s="5">
        <v>0</v>
      </c>
      <c r="I1314" t="s">
        <v>38</v>
      </c>
      <c r="J1314" s="7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1">
        <v>45217</v>
      </c>
      <c r="R1314" s="1">
        <v>45225</v>
      </c>
      <c r="S1314" t="s">
        <v>2924</v>
      </c>
    </row>
    <row r="1315" spans="1:19" x14ac:dyDescent="0.3">
      <c r="A1315" s="9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 s="5">
        <v>0.1</v>
      </c>
      <c r="I1315" t="s">
        <v>38</v>
      </c>
      <c r="J1315" s="7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1">
        <v>45293</v>
      </c>
      <c r="R1315" s="1">
        <v>45302</v>
      </c>
      <c r="S1315" t="s">
        <v>2925</v>
      </c>
    </row>
    <row r="1316" spans="1:19" x14ac:dyDescent="0.3">
      <c r="A1316" s="9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 s="5">
        <v>0.15</v>
      </c>
      <c r="I1316" t="s">
        <v>40</v>
      </c>
      <c r="J1316" s="7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1">
        <v>45724</v>
      </c>
      <c r="R1316" s="1">
        <v>45733</v>
      </c>
      <c r="S1316" t="s">
        <v>2923</v>
      </c>
    </row>
    <row r="1317" spans="1:19" x14ac:dyDescent="0.3">
      <c r="A1317" s="9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 s="5">
        <v>0</v>
      </c>
      <c r="I1317" t="s">
        <v>40</v>
      </c>
      <c r="J1317" s="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1">
        <v>45110</v>
      </c>
      <c r="R1317" s="1">
        <v>45115</v>
      </c>
      <c r="S1317" t="s">
        <v>2926</v>
      </c>
    </row>
    <row r="1318" spans="1:19" x14ac:dyDescent="0.3">
      <c r="A1318" s="9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 s="5">
        <v>0.1</v>
      </c>
      <c r="I1318" t="s">
        <v>42</v>
      </c>
      <c r="J1318" s="7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1">
        <v>45245</v>
      </c>
      <c r="R1318" s="1">
        <v>45252</v>
      </c>
      <c r="S1318" t="s">
        <v>2924</v>
      </c>
    </row>
    <row r="1319" spans="1:19" x14ac:dyDescent="0.3">
      <c r="A1319" s="9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 s="5">
        <v>0.1</v>
      </c>
      <c r="I1319" t="s">
        <v>37</v>
      </c>
      <c r="J1319" s="7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1">
        <v>45332</v>
      </c>
      <c r="R1319" s="1">
        <v>45339</v>
      </c>
      <c r="S1319" t="s">
        <v>2926</v>
      </c>
    </row>
    <row r="1320" spans="1:19" x14ac:dyDescent="0.3">
      <c r="A1320" s="9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 s="5">
        <v>0</v>
      </c>
      <c r="I1320" t="s">
        <v>37</v>
      </c>
      <c r="J1320" s="7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1">
        <v>45756</v>
      </c>
      <c r="R1320" s="1">
        <v>45766</v>
      </c>
      <c r="S1320" t="s">
        <v>2926</v>
      </c>
    </row>
    <row r="1321" spans="1:19" x14ac:dyDescent="0.3">
      <c r="A1321" s="9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 s="5">
        <v>0.05</v>
      </c>
      <c r="I1321" t="s">
        <v>38</v>
      </c>
      <c r="J1321" s="7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1">
        <v>45178</v>
      </c>
      <c r="R1321" s="1">
        <v>45181</v>
      </c>
      <c r="S1321" t="s">
        <v>2926</v>
      </c>
    </row>
    <row r="1322" spans="1:19" x14ac:dyDescent="0.3">
      <c r="A1322" s="9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 s="5">
        <v>0.05</v>
      </c>
      <c r="I1322" t="s">
        <v>41</v>
      </c>
      <c r="J1322" s="7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1">
        <v>45004</v>
      </c>
      <c r="R1322" s="1">
        <v>45011</v>
      </c>
      <c r="S1322" t="s">
        <v>2922</v>
      </c>
    </row>
    <row r="1323" spans="1:19" x14ac:dyDescent="0.3">
      <c r="A1323" s="9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 s="5">
        <v>0.1</v>
      </c>
      <c r="I1323" t="s">
        <v>38</v>
      </c>
      <c r="J1323" s="7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1">
        <v>45657</v>
      </c>
      <c r="R1323" s="1">
        <v>45659</v>
      </c>
      <c r="S1323" t="s">
        <v>2925</v>
      </c>
    </row>
    <row r="1324" spans="1:19" x14ac:dyDescent="0.3">
      <c r="A1324" s="9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 s="5">
        <v>0</v>
      </c>
      <c r="I1324" t="s">
        <v>40</v>
      </c>
      <c r="J1324" s="7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1">
        <v>45254</v>
      </c>
      <c r="R1324" s="1">
        <v>45256</v>
      </c>
      <c r="S1324" t="s">
        <v>2925</v>
      </c>
    </row>
    <row r="1325" spans="1:19" x14ac:dyDescent="0.3">
      <c r="A1325" s="9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 s="5">
        <v>0</v>
      </c>
      <c r="I1325" t="s">
        <v>38</v>
      </c>
      <c r="J1325" s="7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1">
        <v>45792</v>
      </c>
      <c r="R1325" s="1">
        <v>45799</v>
      </c>
      <c r="S1325" t="s">
        <v>2922</v>
      </c>
    </row>
    <row r="1326" spans="1:19" x14ac:dyDescent="0.3">
      <c r="A1326" s="9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 s="5">
        <v>0.15</v>
      </c>
      <c r="I1326" t="s">
        <v>41</v>
      </c>
      <c r="J1326" s="7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1">
        <v>45753</v>
      </c>
      <c r="R1326" s="1">
        <v>45758</v>
      </c>
      <c r="S1326" t="s">
        <v>2923</v>
      </c>
    </row>
    <row r="1327" spans="1:19" x14ac:dyDescent="0.3">
      <c r="A1327" s="9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 s="5">
        <v>0.1</v>
      </c>
      <c r="I1327" t="s">
        <v>42</v>
      </c>
      <c r="J1327" s="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1">
        <v>45328</v>
      </c>
      <c r="R1327" s="1">
        <v>45336</v>
      </c>
      <c r="S1327" t="s">
        <v>2923</v>
      </c>
    </row>
    <row r="1328" spans="1:19" x14ac:dyDescent="0.3">
      <c r="A1328" s="9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 s="5">
        <v>0.1</v>
      </c>
      <c r="I1328" t="s">
        <v>38</v>
      </c>
      <c r="J1328" s="7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1">
        <v>45791</v>
      </c>
      <c r="R1328" s="1">
        <v>45797</v>
      </c>
      <c r="S1328" t="s">
        <v>2924</v>
      </c>
    </row>
    <row r="1329" spans="1:19" x14ac:dyDescent="0.3">
      <c r="A1329" s="9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 s="5">
        <v>0.05</v>
      </c>
      <c r="I1329" t="s">
        <v>39</v>
      </c>
      <c r="J1329" s="7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1">
        <v>44939</v>
      </c>
      <c r="R1329" s="1">
        <v>44944</v>
      </c>
      <c r="S1329" t="s">
        <v>2922</v>
      </c>
    </row>
    <row r="1330" spans="1:19" x14ac:dyDescent="0.3">
      <c r="A1330" s="9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 s="5">
        <v>0</v>
      </c>
      <c r="I1330" t="s">
        <v>40</v>
      </c>
      <c r="J1330" s="7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1">
        <v>45341</v>
      </c>
      <c r="R1330" s="1">
        <v>45350</v>
      </c>
      <c r="S1330" t="s">
        <v>2924</v>
      </c>
    </row>
    <row r="1331" spans="1:19" x14ac:dyDescent="0.3">
      <c r="A1331" s="9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 s="5">
        <v>0.15</v>
      </c>
      <c r="I1331" t="s">
        <v>38</v>
      </c>
      <c r="J1331" s="7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1">
        <v>45206</v>
      </c>
      <c r="R1331" s="1">
        <v>45211</v>
      </c>
      <c r="S1331" t="s">
        <v>2923</v>
      </c>
    </row>
    <row r="1332" spans="1:19" x14ac:dyDescent="0.3">
      <c r="A1332" s="9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 s="5">
        <v>0.15</v>
      </c>
      <c r="I1332" t="s">
        <v>40</v>
      </c>
      <c r="J1332" s="7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1">
        <v>45552</v>
      </c>
      <c r="R1332" s="1">
        <v>45554</v>
      </c>
      <c r="S1332" t="s">
        <v>2925</v>
      </c>
    </row>
    <row r="1333" spans="1:19" x14ac:dyDescent="0.3">
      <c r="A1333" s="9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 s="5">
        <v>0.05</v>
      </c>
      <c r="I1333" t="s">
        <v>37</v>
      </c>
      <c r="J1333" s="7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1">
        <v>45053</v>
      </c>
      <c r="R1333" s="1">
        <v>45063</v>
      </c>
      <c r="S1333" t="s">
        <v>2924</v>
      </c>
    </row>
    <row r="1334" spans="1:19" x14ac:dyDescent="0.3">
      <c r="A1334" s="9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 s="5">
        <v>0.15</v>
      </c>
      <c r="I1334" t="s">
        <v>38</v>
      </c>
      <c r="J1334" s="7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1">
        <v>45272</v>
      </c>
      <c r="R1334" s="1">
        <v>45281</v>
      </c>
      <c r="S1334" t="s">
        <v>2924</v>
      </c>
    </row>
    <row r="1335" spans="1:19" x14ac:dyDescent="0.3">
      <c r="A1335" s="9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 s="5">
        <v>0.05</v>
      </c>
      <c r="I1335" t="s">
        <v>37</v>
      </c>
      <c r="J1335" s="7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1">
        <v>45727</v>
      </c>
      <c r="R1335" s="1">
        <v>45730</v>
      </c>
      <c r="S1335" t="s">
        <v>2925</v>
      </c>
    </row>
    <row r="1336" spans="1:19" x14ac:dyDescent="0.3">
      <c r="A1336" s="9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 s="5">
        <v>0.05</v>
      </c>
      <c r="I1336" t="s">
        <v>37</v>
      </c>
      <c r="J1336" s="7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1">
        <v>45380</v>
      </c>
      <c r="R1336" s="1">
        <v>45389</v>
      </c>
      <c r="S1336" t="s">
        <v>2922</v>
      </c>
    </row>
    <row r="1337" spans="1:19" x14ac:dyDescent="0.3">
      <c r="A1337" s="9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 s="5">
        <v>0</v>
      </c>
      <c r="I1337" t="s">
        <v>42</v>
      </c>
      <c r="J1337" s="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1">
        <v>45501</v>
      </c>
      <c r="R1337" s="1">
        <v>45509</v>
      </c>
      <c r="S1337" t="s">
        <v>2926</v>
      </c>
    </row>
    <row r="1338" spans="1:19" x14ac:dyDescent="0.3">
      <c r="A1338" s="9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 s="5">
        <v>0.1</v>
      </c>
      <c r="I1338" t="s">
        <v>38</v>
      </c>
      <c r="J1338" s="7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1">
        <v>45484</v>
      </c>
      <c r="R1338" s="1">
        <v>45494</v>
      </c>
      <c r="S1338" t="s">
        <v>2923</v>
      </c>
    </row>
    <row r="1339" spans="1:19" x14ac:dyDescent="0.3">
      <c r="A1339" s="9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 s="5">
        <v>0.15</v>
      </c>
      <c r="I1339" t="s">
        <v>38</v>
      </c>
      <c r="J1339" s="7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1">
        <v>45478</v>
      </c>
      <c r="R1339" s="1">
        <v>45487</v>
      </c>
      <c r="S1339" t="s">
        <v>2926</v>
      </c>
    </row>
    <row r="1340" spans="1:19" x14ac:dyDescent="0.3">
      <c r="A1340" s="9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 s="5">
        <v>0.05</v>
      </c>
      <c r="I1340" t="s">
        <v>41</v>
      </c>
      <c r="J1340" s="7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1">
        <v>45370</v>
      </c>
      <c r="R1340" s="1">
        <v>45375</v>
      </c>
      <c r="S1340" t="s">
        <v>2922</v>
      </c>
    </row>
    <row r="1341" spans="1:19" x14ac:dyDescent="0.3">
      <c r="A1341" s="9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 s="5">
        <v>0.1</v>
      </c>
      <c r="I1341" t="s">
        <v>37</v>
      </c>
      <c r="J1341" s="7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1">
        <v>45285</v>
      </c>
      <c r="R1341" s="1">
        <v>45289</v>
      </c>
      <c r="S1341" t="s">
        <v>2925</v>
      </c>
    </row>
    <row r="1342" spans="1:19" x14ac:dyDescent="0.3">
      <c r="A1342" s="9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 s="5">
        <v>0</v>
      </c>
      <c r="I1342" t="s">
        <v>42</v>
      </c>
      <c r="J1342" s="7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1">
        <v>45629</v>
      </c>
      <c r="R1342" s="1">
        <v>45631</v>
      </c>
      <c r="S1342" t="s">
        <v>2923</v>
      </c>
    </row>
    <row r="1343" spans="1:19" x14ac:dyDescent="0.3">
      <c r="A1343" s="9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 s="5">
        <v>0.15</v>
      </c>
      <c r="I1343" t="s">
        <v>38</v>
      </c>
      <c r="J1343" s="7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1">
        <v>45177</v>
      </c>
      <c r="R1343" s="1">
        <v>45184</v>
      </c>
      <c r="S1343" t="s">
        <v>2922</v>
      </c>
    </row>
    <row r="1344" spans="1:19" x14ac:dyDescent="0.3">
      <c r="A1344" s="9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 s="5">
        <v>0</v>
      </c>
      <c r="I1344" t="s">
        <v>41</v>
      </c>
      <c r="J1344" s="7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1">
        <v>45296</v>
      </c>
      <c r="R1344" s="1">
        <v>45298</v>
      </c>
      <c r="S1344" t="s">
        <v>2922</v>
      </c>
    </row>
    <row r="1345" spans="1:19" x14ac:dyDescent="0.3">
      <c r="A1345" s="9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 s="5">
        <v>0.05</v>
      </c>
      <c r="I1345" t="s">
        <v>39</v>
      </c>
      <c r="J1345" s="7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1">
        <v>45141</v>
      </c>
      <c r="R1345" s="1">
        <v>45148</v>
      </c>
      <c r="S1345" t="s">
        <v>2923</v>
      </c>
    </row>
    <row r="1346" spans="1:19" x14ac:dyDescent="0.3">
      <c r="A1346" s="9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 s="5">
        <v>0</v>
      </c>
      <c r="I1346" t="s">
        <v>39</v>
      </c>
      <c r="J1346" s="7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1">
        <v>45699</v>
      </c>
      <c r="R1346" s="1">
        <v>45709</v>
      </c>
      <c r="S1346" t="s">
        <v>2924</v>
      </c>
    </row>
    <row r="1347" spans="1:19" x14ac:dyDescent="0.3">
      <c r="A1347" s="9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 s="5">
        <v>0.1</v>
      </c>
      <c r="I1347" t="s">
        <v>42</v>
      </c>
      <c r="J1347" s="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1">
        <v>45094</v>
      </c>
      <c r="R1347" s="1">
        <v>45098</v>
      </c>
      <c r="S1347" t="s">
        <v>2923</v>
      </c>
    </row>
    <row r="1348" spans="1:19" x14ac:dyDescent="0.3">
      <c r="A1348" s="9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 s="5">
        <v>0.15</v>
      </c>
      <c r="I1348" t="s">
        <v>41</v>
      </c>
      <c r="J1348" s="7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1">
        <v>45327</v>
      </c>
      <c r="R1348" s="1">
        <v>45336</v>
      </c>
      <c r="S1348" t="s">
        <v>2925</v>
      </c>
    </row>
    <row r="1349" spans="1:19" x14ac:dyDescent="0.3">
      <c r="A1349" s="9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 s="5">
        <v>0.15</v>
      </c>
      <c r="I1349" t="s">
        <v>41</v>
      </c>
      <c r="J1349" s="7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1">
        <v>45368</v>
      </c>
      <c r="R1349" s="1">
        <v>45378</v>
      </c>
      <c r="S1349" t="s">
        <v>2923</v>
      </c>
    </row>
    <row r="1350" spans="1:19" x14ac:dyDescent="0.3">
      <c r="A1350" s="9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 s="5">
        <v>0.05</v>
      </c>
      <c r="I1350" t="s">
        <v>37</v>
      </c>
      <c r="J1350" s="7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1">
        <v>45325</v>
      </c>
      <c r="R1350" s="1">
        <v>45331</v>
      </c>
      <c r="S1350" t="s">
        <v>2925</v>
      </c>
    </row>
    <row r="1351" spans="1:19" x14ac:dyDescent="0.3">
      <c r="A1351" s="9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 s="5">
        <v>0.1</v>
      </c>
      <c r="I1351" t="s">
        <v>38</v>
      </c>
      <c r="J1351" s="7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1">
        <v>45016</v>
      </c>
      <c r="R1351" s="1">
        <v>45026</v>
      </c>
      <c r="S1351" t="s">
        <v>2924</v>
      </c>
    </row>
    <row r="1352" spans="1:19" x14ac:dyDescent="0.3">
      <c r="A1352" s="9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 s="5">
        <v>0.15</v>
      </c>
      <c r="I1352" t="s">
        <v>39</v>
      </c>
      <c r="J1352" s="7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1">
        <v>45156</v>
      </c>
      <c r="R1352" s="1">
        <v>45160</v>
      </c>
      <c r="S1352" t="s">
        <v>2926</v>
      </c>
    </row>
    <row r="1353" spans="1:19" x14ac:dyDescent="0.3">
      <c r="A1353" s="9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 s="5">
        <v>0.05</v>
      </c>
      <c r="I1353" t="s">
        <v>40</v>
      </c>
      <c r="J1353" s="7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1">
        <v>45179</v>
      </c>
      <c r="R1353" s="1">
        <v>45182</v>
      </c>
      <c r="S1353" t="s">
        <v>2925</v>
      </c>
    </row>
    <row r="1354" spans="1:19" x14ac:dyDescent="0.3">
      <c r="A1354" s="9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 s="5">
        <v>0</v>
      </c>
      <c r="I1354" t="s">
        <v>42</v>
      </c>
      <c r="J1354" s="7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1">
        <v>45320</v>
      </c>
      <c r="R1354" s="1">
        <v>45325</v>
      </c>
      <c r="S1354" t="s">
        <v>2923</v>
      </c>
    </row>
    <row r="1355" spans="1:19" x14ac:dyDescent="0.3">
      <c r="A1355" s="9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 s="5">
        <v>0</v>
      </c>
      <c r="I1355" t="s">
        <v>37</v>
      </c>
      <c r="J1355" s="7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1">
        <v>45372</v>
      </c>
      <c r="R1355" s="1">
        <v>45381</v>
      </c>
      <c r="S1355" t="s">
        <v>2924</v>
      </c>
    </row>
    <row r="1356" spans="1:19" x14ac:dyDescent="0.3">
      <c r="A1356" s="9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 s="5">
        <v>0.1</v>
      </c>
      <c r="I1356" t="s">
        <v>41</v>
      </c>
      <c r="J1356" s="7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1">
        <v>45507</v>
      </c>
      <c r="R1356" s="1">
        <v>45509</v>
      </c>
      <c r="S1356" t="s">
        <v>2926</v>
      </c>
    </row>
    <row r="1357" spans="1:19" x14ac:dyDescent="0.3">
      <c r="A1357" s="9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 s="5">
        <v>0</v>
      </c>
      <c r="I1357" t="s">
        <v>38</v>
      </c>
      <c r="J1357" s="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1">
        <v>45782</v>
      </c>
      <c r="R1357" s="1">
        <v>45791</v>
      </c>
      <c r="S1357" t="s">
        <v>2924</v>
      </c>
    </row>
    <row r="1358" spans="1:19" x14ac:dyDescent="0.3">
      <c r="A1358" s="9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 s="5">
        <v>0.1</v>
      </c>
      <c r="I1358" t="s">
        <v>37</v>
      </c>
      <c r="J1358" s="7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1">
        <v>44965</v>
      </c>
      <c r="R1358" s="1">
        <v>44973</v>
      </c>
      <c r="S1358" t="s">
        <v>2926</v>
      </c>
    </row>
    <row r="1359" spans="1:19" x14ac:dyDescent="0.3">
      <c r="A1359" s="9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 s="5">
        <v>0.15</v>
      </c>
      <c r="I1359" t="s">
        <v>42</v>
      </c>
      <c r="J1359" s="7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1">
        <v>45072</v>
      </c>
      <c r="R1359" s="1">
        <v>45082</v>
      </c>
      <c r="S1359" t="s">
        <v>2925</v>
      </c>
    </row>
    <row r="1360" spans="1:19" x14ac:dyDescent="0.3">
      <c r="A1360" s="9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 s="5">
        <v>0.1</v>
      </c>
      <c r="I1360" t="s">
        <v>38</v>
      </c>
      <c r="J1360" s="7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1">
        <v>45488</v>
      </c>
      <c r="R1360" s="1">
        <v>45495</v>
      </c>
      <c r="S1360" t="s">
        <v>2922</v>
      </c>
    </row>
    <row r="1361" spans="1:19" x14ac:dyDescent="0.3">
      <c r="A1361" s="9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 s="5">
        <v>0</v>
      </c>
      <c r="I1361" t="s">
        <v>42</v>
      </c>
      <c r="J1361" s="7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1">
        <v>45644</v>
      </c>
      <c r="R1361" s="1">
        <v>45653</v>
      </c>
      <c r="S1361" t="s">
        <v>2924</v>
      </c>
    </row>
    <row r="1362" spans="1:19" x14ac:dyDescent="0.3">
      <c r="A1362" s="9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 s="5">
        <v>0.1</v>
      </c>
      <c r="I1362" t="s">
        <v>41</v>
      </c>
      <c r="J1362" s="7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1">
        <v>45564</v>
      </c>
      <c r="R1362" s="1">
        <v>45573</v>
      </c>
      <c r="S1362" t="s">
        <v>2924</v>
      </c>
    </row>
    <row r="1363" spans="1:19" x14ac:dyDescent="0.3">
      <c r="A1363" s="9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 s="5">
        <v>0.1</v>
      </c>
      <c r="I1363" t="s">
        <v>38</v>
      </c>
      <c r="J1363" s="7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1">
        <v>45590</v>
      </c>
      <c r="R1363" s="1">
        <v>45597</v>
      </c>
      <c r="S1363" t="s">
        <v>2923</v>
      </c>
    </row>
    <row r="1364" spans="1:19" x14ac:dyDescent="0.3">
      <c r="A1364" s="9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 s="5">
        <v>0.05</v>
      </c>
      <c r="I1364" t="s">
        <v>38</v>
      </c>
      <c r="J1364" s="7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1">
        <v>45663</v>
      </c>
      <c r="R1364" s="1">
        <v>45673</v>
      </c>
      <c r="S1364" t="s">
        <v>2924</v>
      </c>
    </row>
    <row r="1365" spans="1:19" x14ac:dyDescent="0.3">
      <c r="A1365" s="9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 s="5">
        <v>0</v>
      </c>
      <c r="I1365" t="s">
        <v>40</v>
      </c>
      <c r="J1365" s="7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1">
        <v>45249</v>
      </c>
      <c r="R1365" s="1">
        <v>45251</v>
      </c>
      <c r="S1365" t="s">
        <v>2925</v>
      </c>
    </row>
    <row r="1366" spans="1:19" x14ac:dyDescent="0.3">
      <c r="A1366" s="9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 s="5">
        <v>0.05</v>
      </c>
      <c r="I1366" t="s">
        <v>37</v>
      </c>
      <c r="J1366" s="7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1">
        <v>45393</v>
      </c>
      <c r="R1366" s="1">
        <v>45399</v>
      </c>
      <c r="S1366" t="s">
        <v>2923</v>
      </c>
    </row>
    <row r="1367" spans="1:19" x14ac:dyDescent="0.3">
      <c r="A1367" s="9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 s="5">
        <v>0.15</v>
      </c>
      <c r="I1367" t="s">
        <v>42</v>
      </c>
      <c r="J1367" s="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1">
        <v>45381</v>
      </c>
      <c r="R1367" s="1">
        <v>45388</v>
      </c>
      <c r="S1367" t="s">
        <v>2923</v>
      </c>
    </row>
    <row r="1368" spans="1:19" x14ac:dyDescent="0.3">
      <c r="A1368" s="9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 s="5">
        <v>0.1</v>
      </c>
      <c r="I1368" t="s">
        <v>40</v>
      </c>
      <c r="J1368" s="7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1">
        <v>45621</v>
      </c>
      <c r="R1368" s="1">
        <v>45625</v>
      </c>
      <c r="S1368" t="s">
        <v>2924</v>
      </c>
    </row>
    <row r="1369" spans="1:19" x14ac:dyDescent="0.3">
      <c r="A1369" s="9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 s="5">
        <v>0.05</v>
      </c>
      <c r="I1369" t="s">
        <v>40</v>
      </c>
      <c r="J1369" s="7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1">
        <v>45663</v>
      </c>
      <c r="R1369" s="1">
        <v>45672</v>
      </c>
      <c r="S1369" t="s">
        <v>2924</v>
      </c>
    </row>
    <row r="1370" spans="1:19" x14ac:dyDescent="0.3">
      <c r="A1370" s="9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 s="5">
        <v>0.05</v>
      </c>
      <c r="I1370" t="s">
        <v>40</v>
      </c>
      <c r="J1370" s="7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1">
        <v>45031</v>
      </c>
      <c r="R1370" s="1">
        <v>45034</v>
      </c>
      <c r="S1370" t="s">
        <v>2926</v>
      </c>
    </row>
    <row r="1371" spans="1:19" x14ac:dyDescent="0.3">
      <c r="A1371" s="9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 s="5">
        <v>0.1</v>
      </c>
      <c r="I1371" t="s">
        <v>37</v>
      </c>
      <c r="J1371" s="7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1">
        <v>45329</v>
      </c>
      <c r="R1371" s="1">
        <v>45339</v>
      </c>
      <c r="S1371" t="s">
        <v>2922</v>
      </c>
    </row>
    <row r="1372" spans="1:19" x14ac:dyDescent="0.3">
      <c r="A1372" s="9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 s="5">
        <v>0.1</v>
      </c>
      <c r="I1372" t="s">
        <v>41</v>
      </c>
      <c r="J1372" s="7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1">
        <v>45079</v>
      </c>
      <c r="R1372" s="1">
        <v>45082</v>
      </c>
      <c r="S1372" t="s">
        <v>2922</v>
      </c>
    </row>
    <row r="1373" spans="1:19" x14ac:dyDescent="0.3">
      <c r="A1373" s="9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 s="5">
        <v>0</v>
      </c>
      <c r="I1373" t="s">
        <v>37</v>
      </c>
      <c r="J1373" s="7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1">
        <v>45162</v>
      </c>
      <c r="R1373" s="1">
        <v>45171</v>
      </c>
      <c r="S1373" t="s">
        <v>2922</v>
      </c>
    </row>
    <row r="1374" spans="1:19" x14ac:dyDescent="0.3">
      <c r="A1374" s="9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 s="5">
        <v>0</v>
      </c>
      <c r="I1374" t="s">
        <v>39</v>
      </c>
      <c r="J1374" s="7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1">
        <v>45632</v>
      </c>
      <c r="R1374" s="1">
        <v>45637</v>
      </c>
      <c r="S1374" t="s">
        <v>2923</v>
      </c>
    </row>
    <row r="1375" spans="1:19" x14ac:dyDescent="0.3">
      <c r="A1375" s="9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 s="5">
        <v>0.1</v>
      </c>
      <c r="I1375" t="s">
        <v>41</v>
      </c>
      <c r="J1375" s="7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1">
        <v>45268</v>
      </c>
      <c r="R1375" s="1">
        <v>45274</v>
      </c>
      <c r="S1375" t="s">
        <v>2922</v>
      </c>
    </row>
    <row r="1376" spans="1:19" x14ac:dyDescent="0.3">
      <c r="A1376" s="9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 s="5">
        <v>0</v>
      </c>
      <c r="I1376" t="s">
        <v>39</v>
      </c>
      <c r="J1376" s="7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1">
        <v>45058</v>
      </c>
      <c r="R1376" s="1">
        <v>45066</v>
      </c>
      <c r="S1376" t="s">
        <v>2923</v>
      </c>
    </row>
    <row r="1377" spans="1:19" x14ac:dyDescent="0.3">
      <c r="A1377" s="9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 s="5">
        <v>0.05</v>
      </c>
      <c r="I1377" t="s">
        <v>38</v>
      </c>
      <c r="J1377" s="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1">
        <v>45771</v>
      </c>
      <c r="R1377" s="1">
        <v>45774</v>
      </c>
      <c r="S1377" t="s">
        <v>2926</v>
      </c>
    </row>
    <row r="1378" spans="1:19" x14ac:dyDescent="0.3">
      <c r="A1378" s="9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 s="5">
        <v>0.05</v>
      </c>
      <c r="I1378" t="s">
        <v>40</v>
      </c>
      <c r="J1378" s="7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1">
        <v>45039</v>
      </c>
      <c r="R1378" s="1">
        <v>45049</v>
      </c>
      <c r="S1378" t="s">
        <v>2925</v>
      </c>
    </row>
    <row r="1379" spans="1:19" x14ac:dyDescent="0.3">
      <c r="A1379" s="9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 s="5">
        <v>0.05</v>
      </c>
      <c r="I1379" t="s">
        <v>40</v>
      </c>
      <c r="J1379" s="7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1">
        <v>44944</v>
      </c>
      <c r="R1379" s="1">
        <v>44947</v>
      </c>
      <c r="S1379" t="s">
        <v>2924</v>
      </c>
    </row>
    <row r="1380" spans="1:19" x14ac:dyDescent="0.3">
      <c r="A1380" s="9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 s="5">
        <v>0.15</v>
      </c>
      <c r="I1380" t="s">
        <v>41</v>
      </c>
      <c r="J1380" s="7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1">
        <v>45788</v>
      </c>
      <c r="R1380" s="1">
        <v>45798</v>
      </c>
      <c r="S1380" t="s">
        <v>2924</v>
      </c>
    </row>
    <row r="1381" spans="1:19" x14ac:dyDescent="0.3">
      <c r="A1381" s="9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 s="5">
        <v>0.05</v>
      </c>
      <c r="I1381" t="s">
        <v>39</v>
      </c>
      <c r="J1381" s="7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1">
        <v>45649</v>
      </c>
      <c r="R1381" s="1">
        <v>45659</v>
      </c>
      <c r="S1381" t="s">
        <v>2926</v>
      </c>
    </row>
    <row r="1382" spans="1:19" x14ac:dyDescent="0.3">
      <c r="A1382" s="9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 s="5">
        <v>0.15</v>
      </c>
      <c r="I1382" t="s">
        <v>40</v>
      </c>
      <c r="J1382" s="7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1">
        <v>45158</v>
      </c>
      <c r="R1382" s="1">
        <v>45166</v>
      </c>
      <c r="S1382" t="s">
        <v>2926</v>
      </c>
    </row>
    <row r="1383" spans="1:19" x14ac:dyDescent="0.3">
      <c r="A1383" s="9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 s="5">
        <v>0</v>
      </c>
      <c r="I1383" t="s">
        <v>42</v>
      </c>
      <c r="J1383" s="7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1">
        <v>45734</v>
      </c>
      <c r="R1383" s="1">
        <v>45739</v>
      </c>
      <c r="S1383" t="s">
        <v>2925</v>
      </c>
    </row>
    <row r="1384" spans="1:19" x14ac:dyDescent="0.3">
      <c r="A1384" s="9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 s="5">
        <v>0</v>
      </c>
      <c r="I1384" t="s">
        <v>40</v>
      </c>
      <c r="J1384" s="7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1">
        <v>45307</v>
      </c>
      <c r="R1384" s="1">
        <v>45315</v>
      </c>
      <c r="S1384" t="s">
        <v>2925</v>
      </c>
    </row>
    <row r="1385" spans="1:19" x14ac:dyDescent="0.3">
      <c r="A1385" s="9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 s="5">
        <v>0.1</v>
      </c>
      <c r="I1385" t="s">
        <v>37</v>
      </c>
      <c r="J1385" s="7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1">
        <v>45441</v>
      </c>
      <c r="R1385" s="1">
        <v>45451</v>
      </c>
      <c r="S1385" t="s">
        <v>2922</v>
      </c>
    </row>
    <row r="1386" spans="1:19" x14ac:dyDescent="0.3">
      <c r="A1386" s="9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 s="5">
        <v>0.15</v>
      </c>
      <c r="I1386" t="s">
        <v>37</v>
      </c>
      <c r="J1386" s="7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1">
        <v>45741</v>
      </c>
      <c r="R1386" s="1">
        <v>45743</v>
      </c>
      <c r="S1386" t="s">
        <v>2923</v>
      </c>
    </row>
    <row r="1387" spans="1:19" x14ac:dyDescent="0.3">
      <c r="A1387" s="9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 s="5">
        <v>0.05</v>
      </c>
      <c r="I1387" t="s">
        <v>42</v>
      </c>
      <c r="J1387" s="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1">
        <v>45738</v>
      </c>
      <c r="R1387" s="1">
        <v>45743</v>
      </c>
      <c r="S1387" t="s">
        <v>2925</v>
      </c>
    </row>
    <row r="1388" spans="1:19" x14ac:dyDescent="0.3">
      <c r="A1388" s="9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 s="5">
        <v>0.05</v>
      </c>
      <c r="I1388" t="s">
        <v>41</v>
      </c>
      <c r="J1388" s="7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1">
        <v>45521</v>
      </c>
      <c r="R1388" s="1">
        <v>45528</v>
      </c>
      <c r="S1388" t="s">
        <v>2922</v>
      </c>
    </row>
    <row r="1389" spans="1:19" x14ac:dyDescent="0.3">
      <c r="A1389" s="9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 s="5">
        <v>0.1</v>
      </c>
      <c r="I1389" t="s">
        <v>37</v>
      </c>
      <c r="J1389" s="7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1">
        <v>45445</v>
      </c>
      <c r="R1389" s="1">
        <v>45455</v>
      </c>
      <c r="S1389" t="s">
        <v>2923</v>
      </c>
    </row>
    <row r="1390" spans="1:19" x14ac:dyDescent="0.3">
      <c r="A1390" s="9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 s="5">
        <v>0.1</v>
      </c>
      <c r="I1390" t="s">
        <v>41</v>
      </c>
      <c r="J1390" s="7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1">
        <v>45016</v>
      </c>
      <c r="R1390" s="1">
        <v>45026</v>
      </c>
      <c r="S1390" t="s">
        <v>2923</v>
      </c>
    </row>
    <row r="1391" spans="1:19" x14ac:dyDescent="0.3">
      <c r="A1391" s="9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 s="5">
        <v>0.05</v>
      </c>
      <c r="I1391" t="s">
        <v>37</v>
      </c>
      <c r="J1391" s="7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1">
        <v>45431</v>
      </c>
      <c r="R1391" s="1">
        <v>45435</v>
      </c>
      <c r="S1391" t="s">
        <v>2926</v>
      </c>
    </row>
    <row r="1392" spans="1:19" x14ac:dyDescent="0.3">
      <c r="A1392" s="9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 s="5">
        <v>0.1</v>
      </c>
      <c r="I1392" t="s">
        <v>41</v>
      </c>
      <c r="J1392" s="7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1">
        <v>44987</v>
      </c>
      <c r="R1392" s="1">
        <v>44990</v>
      </c>
      <c r="S1392" t="s">
        <v>2926</v>
      </c>
    </row>
    <row r="1393" spans="1:19" x14ac:dyDescent="0.3">
      <c r="A1393" s="9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 s="5">
        <v>0.15</v>
      </c>
      <c r="I1393" t="s">
        <v>40</v>
      </c>
      <c r="J1393" s="7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1">
        <v>44998</v>
      </c>
      <c r="R1393" s="1">
        <v>45007</v>
      </c>
      <c r="S1393" t="s">
        <v>2924</v>
      </c>
    </row>
    <row r="1394" spans="1:19" x14ac:dyDescent="0.3">
      <c r="A1394" s="9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 s="5">
        <v>0.05</v>
      </c>
      <c r="I1394" t="s">
        <v>41</v>
      </c>
      <c r="J1394" s="7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1">
        <v>45763</v>
      </c>
      <c r="R1394" s="1">
        <v>45765</v>
      </c>
      <c r="S1394" t="s">
        <v>2926</v>
      </c>
    </row>
    <row r="1395" spans="1:19" x14ac:dyDescent="0.3">
      <c r="A1395" s="9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 s="5">
        <v>0</v>
      </c>
      <c r="I1395" t="s">
        <v>41</v>
      </c>
      <c r="J1395" s="7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1">
        <v>45448</v>
      </c>
      <c r="R1395" s="1">
        <v>45458</v>
      </c>
      <c r="S1395" t="s">
        <v>2924</v>
      </c>
    </row>
    <row r="1396" spans="1:19" x14ac:dyDescent="0.3">
      <c r="A1396" s="9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 s="5">
        <v>0</v>
      </c>
      <c r="I1396" t="s">
        <v>37</v>
      </c>
      <c r="J1396" s="7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1">
        <v>45536</v>
      </c>
      <c r="R1396" s="1">
        <v>45540</v>
      </c>
      <c r="S1396" t="s">
        <v>2924</v>
      </c>
    </row>
    <row r="1397" spans="1:19" x14ac:dyDescent="0.3">
      <c r="A1397" s="9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 s="5">
        <v>0</v>
      </c>
      <c r="I1397" t="s">
        <v>37</v>
      </c>
      <c r="J1397" s="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1">
        <v>45556</v>
      </c>
      <c r="R1397" s="1">
        <v>45565</v>
      </c>
      <c r="S1397" t="s">
        <v>2924</v>
      </c>
    </row>
    <row r="1398" spans="1:19" x14ac:dyDescent="0.3">
      <c r="A1398" s="9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 s="5">
        <v>0.05</v>
      </c>
      <c r="I1398" t="s">
        <v>41</v>
      </c>
      <c r="J1398" s="7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1">
        <v>45668</v>
      </c>
      <c r="R1398" s="1">
        <v>45673</v>
      </c>
      <c r="S1398" t="s">
        <v>2924</v>
      </c>
    </row>
    <row r="1399" spans="1:19" x14ac:dyDescent="0.3">
      <c r="A1399" s="9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 s="5">
        <v>0.15</v>
      </c>
      <c r="I1399" t="s">
        <v>41</v>
      </c>
      <c r="J1399" s="7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1">
        <v>44930</v>
      </c>
      <c r="R1399" s="1">
        <v>44934</v>
      </c>
      <c r="S1399" t="s">
        <v>2926</v>
      </c>
    </row>
    <row r="1400" spans="1:19" x14ac:dyDescent="0.3">
      <c r="A1400" s="9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 s="5">
        <v>0.05</v>
      </c>
      <c r="I1400" t="s">
        <v>38</v>
      </c>
      <c r="J1400" s="7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1">
        <v>45048</v>
      </c>
      <c r="R1400" s="1">
        <v>45051</v>
      </c>
      <c r="S1400" t="s">
        <v>2926</v>
      </c>
    </row>
    <row r="1401" spans="1:19" x14ac:dyDescent="0.3">
      <c r="A1401" s="9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 s="5">
        <v>0.15</v>
      </c>
      <c r="I1401" t="s">
        <v>39</v>
      </c>
      <c r="J1401" s="7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1">
        <v>45116</v>
      </c>
      <c r="R1401" s="1">
        <v>45121</v>
      </c>
      <c r="S1401" t="s">
        <v>2922</v>
      </c>
    </row>
    <row r="1402" spans="1:19" x14ac:dyDescent="0.3">
      <c r="A1402" s="9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 s="5">
        <v>0.05</v>
      </c>
      <c r="I1402" t="s">
        <v>42</v>
      </c>
      <c r="J1402" s="7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1">
        <v>45715</v>
      </c>
      <c r="R1402" s="1">
        <v>45720</v>
      </c>
      <c r="S1402" t="s">
        <v>2922</v>
      </c>
    </row>
    <row r="1403" spans="1:19" x14ac:dyDescent="0.3">
      <c r="A1403" s="9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 s="5">
        <v>0.15</v>
      </c>
      <c r="I1403" t="s">
        <v>41</v>
      </c>
      <c r="J1403" s="7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1">
        <v>45558</v>
      </c>
      <c r="R1403" s="1">
        <v>45564</v>
      </c>
      <c r="S1403" t="s">
        <v>2926</v>
      </c>
    </row>
    <row r="1404" spans="1:19" x14ac:dyDescent="0.3">
      <c r="A1404" s="9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 s="5">
        <v>0.1</v>
      </c>
      <c r="I1404" t="s">
        <v>41</v>
      </c>
      <c r="J1404" s="7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1">
        <v>45830</v>
      </c>
      <c r="R1404" s="1">
        <v>45839</v>
      </c>
      <c r="S1404" t="s">
        <v>2922</v>
      </c>
    </row>
    <row r="1405" spans="1:19" x14ac:dyDescent="0.3">
      <c r="A1405" s="9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 s="5">
        <v>0</v>
      </c>
      <c r="I1405" t="s">
        <v>42</v>
      </c>
      <c r="J1405" s="7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1">
        <v>45676</v>
      </c>
      <c r="R1405" s="1">
        <v>45685</v>
      </c>
      <c r="S1405" t="s">
        <v>2925</v>
      </c>
    </row>
    <row r="1406" spans="1:19" x14ac:dyDescent="0.3">
      <c r="A1406" s="9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 s="5">
        <v>0.15</v>
      </c>
      <c r="I1406" t="s">
        <v>37</v>
      </c>
      <c r="J1406" s="7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1">
        <v>45691</v>
      </c>
      <c r="R1406" s="1">
        <v>45696</v>
      </c>
      <c r="S1406" t="s">
        <v>2922</v>
      </c>
    </row>
    <row r="1407" spans="1:19" x14ac:dyDescent="0.3">
      <c r="A1407" s="9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 s="5">
        <v>0</v>
      </c>
      <c r="I1407" t="s">
        <v>37</v>
      </c>
      <c r="J1407" s="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1">
        <v>45241</v>
      </c>
      <c r="R1407" s="1">
        <v>45247</v>
      </c>
      <c r="S1407" t="s">
        <v>2922</v>
      </c>
    </row>
    <row r="1408" spans="1:19" x14ac:dyDescent="0.3">
      <c r="A1408" s="9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 s="5">
        <v>0.15</v>
      </c>
      <c r="I1408" t="s">
        <v>37</v>
      </c>
      <c r="J1408" s="7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1">
        <v>45420</v>
      </c>
      <c r="R1408" s="1">
        <v>45422</v>
      </c>
      <c r="S1408" t="s">
        <v>2922</v>
      </c>
    </row>
    <row r="1409" spans="1:19" x14ac:dyDescent="0.3">
      <c r="A1409" s="9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 s="5">
        <v>0</v>
      </c>
      <c r="I1409" t="s">
        <v>39</v>
      </c>
      <c r="J1409" s="7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1">
        <v>45187</v>
      </c>
      <c r="R1409" s="1">
        <v>45196</v>
      </c>
      <c r="S1409" t="s">
        <v>2923</v>
      </c>
    </row>
    <row r="1410" spans="1:19" x14ac:dyDescent="0.3">
      <c r="A1410" s="9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 s="5">
        <v>0.05</v>
      </c>
      <c r="I1410" t="s">
        <v>38</v>
      </c>
      <c r="J1410" s="7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1">
        <v>45752</v>
      </c>
      <c r="R1410" s="1">
        <v>45760</v>
      </c>
      <c r="S1410" t="s">
        <v>2925</v>
      </c>
    </row>
    <row r="1411" spans="1:19" x14ac:dyDescent="0.3">
      <c r="A1411" s="9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 s="5">
        <v>0.05</v>
      </c>
      <c r="I1411" t="s">
        <v>41</v>
      </c>
      <c r="J1411" s="7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1">
        <v>45182</v>
      </c>
      <c r="R1411" s="1">
        <v>45184</v>
      </c>
      <c r="S1411" t="s">
        <v>2925</v>
      </c>
    </row>
    <row r="1412" spans="1:19" x14ac:dyDescent="0.3">
      <c r="A1412" s="9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 s="5">
        <v>0.05</v>
      </c>
      <c r="I1412" t="s">
        <v>39</v>
      </c>
      <c r="J1412" s="7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1">
        <v>45471</v>
      </c>
      <c r="R1412" s="1">
        <v>45479</v>
      </c>
      <c r="S1412" t="s">
        <v>2922</v>
      </c>
    </row>
    <row r="1413" spans="1:19" x14ac:dyDescent="0.3">
      <c r="A1413" s="9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 s="5">
        <v>0.1</v>
      </c>
      <c r="I1413" t="s">
        <v>40</v>
      </c>
      <c r="J1413" s="7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1">
        <v>45022</v>
      </c>
      <c r="R1413" s="1">
        <v>45024</v>
      </c>
      <c r="S1413" t="s">
        <v>2925</v>
      </c>
    </row>
    <row r="1414" spans="1:19" x14ac:dyDescent="0.3">
      <c r="A1414" s="9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 s="5">
        <v>0.15</v>
      </c>
      <c r="I1414" t="s">
        <v>38</v>
      </c>
      <c r="J1414" s="7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1">
        <v>45059</v>
      </c>
      <c r="R1414" s="1">
        <v>45064</v>
      </c>
      <c r="S1414" t="s">
        <v>2923</v>
      </c>
    </row>
    <row r="1415" spans="1:19" x14ac:dyDescent="0.3">
      <c r="A1415" s="9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 s="5">
        <v>0.1</v>
      </c>
      <c r="I1415" t="s">
        <v>37</v>
      </c>
      <c r="J1415" s="7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1">
        <v>45784</v>
      </c>
      <c r="R1415" s="1">
        <v>45792</v>
      </c>
      <c r="S1415" t="s">
        <v>2922</v>
      </c>
    </row>
    <row r="1416" spans="1:19" x14ac:dyDescent="0.3">
      <c r="A1416" s="9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 s="5">
        <v>0.1</v>
      </c>
      <c r="I1416" t="s">
        <v>41</v>
      </c>
      <c r="J1416" s="7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1">
        <v>45738</v>
      </c>
      <c r="R1416" s="1">
        <v>45743</v>
      </c>
      <c r="S1416" t="s">
        <v>2924</v>
      </c>
    </row>
    <row r="1417" spans="1:19" x14ac:dyDescent="0.3">
      <c r="A1417" s="9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 s="5">
        <v>0</v>
      </c>
      <c r="I1417" t="s">
        <v>39</v>
      </c>
      <c r="J1417" s="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1">
        <v>45467</v>
      </c>
      <c r="R1417" s="1">
        <v>45475</v>
      </c>
      <c r="S1417" t="s">
        <v>2923</v>
      </c>
    </row>
    <row r="1418" spans="1:19" x14ac:dyDescent="0.3">
      <c r="A1418" s="9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 s="5">
        <v>0.15</v>
      </c>
      <c r="I1418" t="s">
        <v>39</v>
      </c>
      <c r="J1418" s="7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1">
        <v>45837</v>
      </c>
      <c r="R1418" s="1">
        <v>45841</v>
      </c>
      <c r="S1418" t="s">
        <v>2926</v>
      </c>
    </row>
    <row r="1419" spans="1:19" x14ac:dyDescent="0.3">
      <c r="A1419" s="9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 s="5">
        <v>0.1</v>
      </c>
      <c r="I1419" t="s">
        <v>41</v>
      </c>
      <c r="J1419" s="7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1">
        <v>45383</v>
      </c>
      <c r="R1419" s="1">
        <v>45392</v>
      </c>
      <c r="S1419" t="s">
        <v>2926</v>
      </c>
    </row>
    <row r="1420" spans="1:19" x14ac:dyDescent="0.3">
      <c r="A1420" s="9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 s="5">
        <v>0.05</v>
      </c>
      <c r="I1420" t="s">
        <v>40</v>
      </c>
      <c r="J1420" s="7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1">
        <v>45447</v>
      </c>
      <c r="R1420" s="1">
        <v>45457</v>
      </c>
      <c r="S1420" t="s">
        <v>2924</v>
      </c>
    </row>
    <row r="1421" spans="1:19" x14ac:dyDescent="0.3">
      <c r="A1421" s="9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 s="5">
        <v>0.1</v>
      </c>
      <c r="I1421" t="s">
        <v>40</v>
      </c>
      <c r="J1421" s="7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1">
        <v>45015</v>
      </c>
      <c r="R1421" s="1">
        <v>45022</v>
      </c>
      <c r="S1421" t="s">
        <v>2922</v>
      </c>
    </row>
    <row r="1422" spans="1:19" x14ac:dyDescent="0.3">
      <c r="A1422" s="9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 s="5">
        <v>0.15</v>
      </c>
      <c r="I1422" t="s">
        <v>40</v>
      </c>
      <c r="J1422" s="7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1">
        <v>45742</v>
      </c>
      <c r="R1422" s="1">
        <v>45744</v>
      </c>
      <c r="S1422" t="s">
        <v>2922</v>
      </c>
    </row>
    <row r="1423" spans="1:19" x14ac:dyDescent="0.3">
      <c r="A1423" s="9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 s="5">
        <v>0</v>
      </c>
      <c r="I1423" t="s">
        <v>38</v>
      </c>
      <c r="J1423" s="7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1">
        <v>45160</v>
      </c>
      <c r="R1423" s="1">
        <v>45162</v>
      </c>
      <c r="S1423" t="s">
        <v>2926</v>
      </c>
    </row>
    <row r="1424" spans="1:19" x14ac:dyDescent="0.3">
      <c r="A1424" s="9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 s="5">
        <v>0.15</v>
      </c>
      <c r="I1424" t="s">
        <v>39</v>
      </c>
      <c r="J1424" s="7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1">
        <v>45398</v>
      </c>
      <c r="R1424" s="1">
        <v>45402</v>
      </c>
      <c r="S1424" t="s">
        <v>2923</v>
      </c>
    </row>
    <row r="1425" spans="1:19" x14ac:dyDescent="0.3">
      <c r="A1425" s="9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 s="5">
        <v>0.1</v>
      </c>
      <c r="I1425" t="s">
        <v>38</v>
      </c>
      <c r="J1425" s="7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1">
        <v>45788</v>
      </c>
      <c r="R1425" s="1">
        <v>45796</v>
      </c>
      <c r="S1425" t="s">
        <v>2925</v>
      </c>
    </row>
    <row r="1426" spans="1:19" x14ac:dyDescent="0.3">
      <c r="A1426" s="9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 s="5">
        <v>0</v>
      </c>
      <c r="I1426" t="s">
        <v>38</v>
      </c>
      <c r="J1426" s="7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1">
        <v>45271</v>
      </c>
      <c r="R1426" s="1">
        <v>45281</v>
      </c>
      <c r="S1426" t="s">
        <v>2924</v>
      </c>
    </row>
    <row r="1427" spans="1:19" x14ac:dyDescent="0.3">
      <c r="A1427" s="9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 s="5">
        <v>0.1</v>
      </c>
      <c r="I1427" t="s">
        <v>38</v>
      </c>
      <c r="J1427" s="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1">
        <v>44942</v>
      </c>
      <c r="R1427" s="1">
        <v>44947</v>
      </c>
      <c r="S1427" t="s">
        <v>2924</v>
      </c>
    </row>
    <row r="1428" spans="1:19" x14ac:dyDescent="0.3">
      <c r="A1428" s="9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 s="5">
        <v>0.05</v>
      </c>
      <c r="I1428" t="s">
        <v>42</v>
      </c>
      <c r="J1428" s="7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1">
        <v>45056</v>
      </c>
      <c r="R1428" s="1">
        <v>45063</v>
      </c>
      <c r="S1428" t="s">
        <v>2922</v>
      </c>
    </row>
    <row r="1429" spans="1:19" x14ac:dyDescent="0.3">
      <c r="A1429" s="9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 s="5">
        <v>0.1</v>
      </c>
      <c r="I1429" t="s">
        <v>38</v>
      </c>
      <c r="J1429" s="7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1">
        <v>45465</v>
      </c>
      <c r="R1429" s="1">
        <v>45472</v>
      </c>
      <c r="S1429" t="s">
        <v>2925</v>
      </c>
    </row>
    <row r="1430" spans="1:19" x14ac:dyDescent="0.3">
      <c r="A1430" s="9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 s="5">
        <v>0.1</v>
      </c>
      <c r="I1430" t="s">
        <v>37</v>
      </c>
      <c r="J1430" s="7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1">
        <v>45745</v>
      </c>
      <c r="R1430" s="1">
        <v>45754</v>
      </c>
      <c r="S1430" t="s">
        <v>2926</v>
      </c>
    </row>
    <row r="1431" spans="1:19" x14ac:dyDescent="0.3">
      <c r="A1431" s="9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 s="5">
        <v>0</v>
      </c>
      <c r="I1431" t="s">
        <v>40</v>
      </c>
      <c r="J1431" s="7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1">
        <v>45034</v>
      </c>
      <c r="R1431" s="1">
        <v>45039</v>
      </c>
      <c r="S1431" t="s">
        <v>2924</v>
      </c>
    </row>
    <row r="1432" spans="1:19" x14ac:dyDescent="0.3">
      <c r="A1432" s="9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 s="5">
        <v>0.1</v>
      </c>
      <c r="I1432" t="s">
        <v>37</v>
      </c>
      <c r="J1432" s="7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1">
        <v>44964</v>
      </c>
      <c r="R1432" s="1">
        <v>44966</v>
      </c>
      <c r="S1432" t="s">
        <v>2925</v>
      </c>
    </row>
    <row r="1433" spans="1:19" x14ac:dyDescent="0.3">
      <c r="A1433" s="9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 s="5">
        <v>0.05</v>
      </c>
      <c r="I1433" t="s">
        <v>37</v>
      </c>
      <c r="J1433" s="7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1">
        <v>45679</v>
      </c>
      <c r="R1433" s="1">
        <v>45682</v>
      </c>
      <c r="S1433" t="s">
        <v>2922</v>
      </c>
    </row>
    <row r="1434" spans="1:19" x14ac:dyDescent="0.3">
      <c r="A1434" s="9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 s="5">
        <v>0.05</v>
      </c>
      <c r="I1434" t="s">
        <v>37</v>
      </c>
      <c r="J1434" s="7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1">
        <v>45111</v>
      </c>
      <c r="R1434" s="1">
        <v>45119</v>
      </c>
      <c r="S1434" t="s">
        <v>2922</v>
      </c>
    </row>
    <row r="1435" spans="1:19" x14ac:dyDescent="0.3">
      <c r="A1435" s="9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 s="5">
        <v>0.1</v>
      </c>
      <c r="I1435" t="s">
        <v>38</v>
      </c>
      <c r="J1435" s="7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1">
        <v>45138</v>
      </c>
      <c r="R1435" s="1">
        <v>45141</v>
      </c>
      <c r="S1435" t="s">
        <v>2925</v>
      </c>
    </row>
    <row r="1436" spans="1:19" x14ac:dyDescent="0.3">
      <c r="A1436" s="9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 s="5">
        <v>0</v>
      </c>
      <c r="I1436" t="s">
        <v>37</v>
      </c>
      <c r="J1436" s="7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1">
        <v>45036</v>
      </c>
      <c r="R1436" s="1">
        <v>45043</v>
      </c>
      <c r="S1436" t="s">
        <v>2924</v>
      </c>
    </row>
    <row r="1437" spans="1:19" x14ac:dyDescent="0.3">
      <c r="A1437" s="9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 s="5">
        <v>0.1</v>
      </c>
      <c r="I1437" t="s">
        <v>40</v>
      </c>
      <c r="J1437" s="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1">
        <v>45573</v>
      </c>
      <c r="R1437" s="1">
        <v>45576</v>
      </c>
      <c r="S1437" t="s">
        <v>2925</v>
      </c>
    </row>
    <row r="1438" spans="1:19" x14ac:dyDescent="0.3">
      <c r="A1438" s="9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 s="5">
        <v>0.1</v>
      </c>
      <c r="I1438" t="s">
        <v>39</v>
      </c>
      <c r="J1438" s="7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1">
        <v>45316</v>
      </c>
      <c r="R1438" s="1">
        <v>45318</v>
      </c>
      <c r="S1438" t="s">
        <v>2922</v>
      </c>
    </row>
    <row r="1439" spans="1:19" x14ac:dyDescent="0.3">
      <c r="A1439" s="9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 s="5">
        <v>0.05</v>
      </c>
      <c r="I1439" t="s">
        <v>39</v>
      </c>
      <c r="J1439" s="7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1">
        <v>45642</v>
      </c>
      <c r="R1439" s="1">
        <v>45651</v>
      </c>
      <c r="S1439" t="s">
        <v>2923</v>
      </c>
    </row>
    <row r="1440" spans="1:19" x14ac:dyDescent="0.3">
      <c r="A1440" s="9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 s="5">
        <v>0.1</v>
      </c>
      <c r="I1440" t="s">
        <v>42</v>
      </c>
      <c r="J1440" s="7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1">
        <v>45589</v>
      </c>
      <c r="R1440" s="1">
        <v>45597</v>
      </c>
      <c r="S1440" t="s">
        <v>2925</v>
      </c>
    </row>
    <row r="1441" spans="1:19" x14ac:dyDescent="0.3">
      <c r="A1441" s="9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 s="5">
        <v>0.1</v>
      </c>
      <c r="I1441" t="s">
        <v>38</v>
      </c>
      <c r="J1441" s="7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1">
        <v>45246</v>
      </c>
      <c r="R1441" s="1">
        <v>45250</v>
      </c>
      <c r="S1441" t="s">
        <v>2926</v>
      </c>
    </row>
    <row r="1442" spans="1:19" x14ac:dyDescent="0.3">
      <c r="A1442" s="9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 s="5">
        <v>0</v>
      </c>
      <c r="I1442" t="s">
        <v>42</v>
      </c>
      <c r="J1442" s="7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1">
        <v>45382</v>
      </c>
      <c r="R1442" s="1">
        <v>45390</v>
      </c>
      <c r="S1442" t="s">
        <v>2923</v>
      </c>
    </row>
    <row r="1443" spans="1:19" x14ac:dyDescent="0.3">
      <c r="A1443" s="9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 s="5">
        <v>0.05</v>
      </c>
      <c r="I1443" t="s">
        <v>37</v>
      </c>
      <c r="J1443" s="7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1">
        <v>44970</v>
      </c>
      <c r="R1443" s="1">
        <v>44975</v>
      </c>
      <c r="S1443" t="s">
        <v>2922</v>
      </c>
    </row>
    <row r="1444" spans="1:19" x14ac:dyDescent="0.3">
      <c r="A1444" s="9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 s="5">
        <v>0.05</v>
      </c>
      <c r="I1444" t="s">
        <v>38</v>
      </c>
      <c r="J1444" s="7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1">
        <v>45189</v>
      </c>
      <c r="R1444" s="1">
        <v>45196</v>
      </c>
      <c r="S1444" t="s">
        <v>2923</v>
      </c>
    </row>
    <row r="1445" spans="1:19" x14ac:dyDescent="0.3">
      <c r="A1445" s="9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 s="5">
        <v>0.05</v>
      </c>
      <c r="I1445" t="s">
        <v>41</v>
      </c>
      <c r="J1445" s="7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1">
        <v>45104</v>
      </c>
      <c r="R1445" s="1">
        <v>45114</v>
      </c>
      <c r="S1445" t="s">
        <v>2923</v>
      </c>
    </row>
    <row r="1446" spans="1:19" x14ac:dyDescent="0.3">
      <c r="A1446" s="9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 s="5">
        <v>0.05</v>
      </c>
      <c r="I1446" t="s">
        <v>38</v>
      </c>
      <c r="J1446" s="7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1">
        <v>45749</v>
      </c>
      <c r="R1446" s="1">
        <v>45753</v>
      </c>
      <c r="S1446" t="s">
        <v>2925</v>
      </c>
    </row>
    <row r="1447" spans="1:19" x14ac:dyDescent="0.3">
      <c r="A1447" s="9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 s="5">
        <v>0</v>
      </c>
      <c r="I1447" t="s">
        <v>37</v>
      </c>
      <c r="J1447" s="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1">
        <v>45763</v>
      </c>
      <c r="R1447" s="1">
        <v>45773</v>
      </c>
      <c r="S1447" t="s">
        <v>2924</v>
      </c>
    </row>
    <row r="1448" spans="1:19" x14ac:dyDescent="0.3">
      <c r="A1448" s="9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 s="5">
        <v>0.15</v>
      </c>
      <c r="I1448" t="s">
        <v>39</v>
      </c>
      <c r="J1448" s="7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1">
        <v>45482</v>
      </c>
      <c r="R1448" s="1">
        <v>45490</v>
      </c>
      <c r="S1448" t="s">
        <v>2925</v>
      </c>
    </row>
    <row r="1449" spans="1:19" x14ac:dyDescent="0.3">
      <c r="A1449" s="9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 s="5">
        <v>0.05</v>
      </c>
      <c r="I1449" t="s">
        <v>38</v>
      </c>
      <c r="J1449" s="7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1">
        <v>45831</v>
      </c>
      <c r="R1449" s="1">
        <v>45841</v>
      </c>
      <c r="S1449" t="s">
        <v>2922</v>
      </c>
    </row>
    <row r="1450" spans="1:19" x14ac:dyDescent="0.3">
      <c r="A1450" s="9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 s="5">
        <v>0.1</v>
      </c>
      <c r="I1450" t="s">
        <v>40</v>
      </c>
      <c r="J1450" s="7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1">
        <v>45452</v>
      </c>
      <c r="R1450" s="1">
        <v>45461</v>
      </c>
      <c r="S1450" t="s">
        <v>2922</v>
      </c>
    </row>
    <row r="1451" spans="1:19" x14ac:dyDescent="0.3">
      <c r="A1451" s="9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 s="5">
        <v>0.05</v>
      </c>
      <c r="I1451" t="s">
        <v>37</v>
      </c>
      <c r="J1451" s="7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1">
        <v>45261</v>
      </c>
      <c r="R1451" s="1">
        <v>45263</v>
      </c>
      <c r="S1451" t="s">
        <v>2925</v>
      </c>
    </row>
    <row r="1452" spans="1:19" x14ac:dyDescent="0.3">
      <c r="A1452" s="9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 s="5">
        <v>0.05</v>
      </c>
      <c r="I1452" t="s">
        <v>41</v>
      </c>
      <c r="J1452" s="7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1">
        <v>45497</v>
      </c>
      <c r="R1452" s="1">
        <v>45503</v>
      </c>
      <c r="S1452" t="s">
        <v>2926</v>
      </c>
    </row>
    <row r="1453" spans="1:19" x14ac:dyDescent="0.3">
      <c r="A1453" s="9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 s="5">
        <v>0.15</v>
      </c>
      <c r="I1453" t="s">
        <v>41</v>
      </c>
      <c r="J1453" s="7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1">
        <v>45028</v>
      </c>
      <c r="R1453" s="1">
        <v>45035</v>
      </c>
      <c r="S1453" t="s">
        <v>2926</v>
      </c>
    </row>
    <row r="1454" spans="1:19" x14ac:dyDescent="0.3">
      <c r="A1454" s="9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 s="5">
        <v>0.15</v>
      </c>
      <c r="I1454" t="s">
        <v>37</v>
      </c>
      <c r="J1454" s="7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1">
        <v>45643</v>
      </c>
      <c r="R1454" s="1">
        <v>45652</v>
      </c>
      <c r="S1454" t="s">
        <v>2924</v>
      </c>
    </row>
    <row r="1455" spans="1:19" x14ac:dyDescent="0.3">
      <c r="A1455" s="9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 s="5">
        <v>0.15</v>
      </c>
      <c r="I1455" t="s">
        <v>37</v>
      </c>
      <c r="J1455" s="7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1">
        <v>45512</v>
      </c>
      <c r="R1455" s="1">
        <v>45518</v>
      </c>
      <c r="S1455" t="s">
        <v>2923</v>
      </c>
    </row>
    <row r="1456" spans="1:19" x14ac:dyDescent="0.3">
      <c r="A1456" s="9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 s="5">
        <v>0.1</v>
      </c>
      <c r="I1456" t="s">
        <v>37</v>
      </c>
      <c r="J1456" s="7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1">
        <v>45550</v>
      </c>
      <c r="R1456" s="1">
        <v>45557</v>
      </c>
      <c r="S1456" t="s">
        <v>2922</v>
      </c>
    </row>
    <row r="1457" spans="1:19" x14ac:dyDescent="0.3">
      <c r="A1457" s="9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 s="5">
        <v>0.1</v>
      </c>
      <c r="I1457" t="s">
        <v>41</v>
      </c>
      <c r="J1457" s="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1">
        <v>45207</v>
      </c>
      <c r="R1457" s="1">
        <v>45209</v>
      </c>
      <c r="S1457" t="s">
        <v>2923</v>
      </c>
    </row>
    <row r="1458" spans="1:19" x14ac:dyDescent="0.3">
      <c r="A1458" s="9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 s="5">
        <v>0.15</v>
      </c>
      <c r="I1458" t="s">
        <v>42</v>
      </c>
      <c r="J1458" s="7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1">
        <v>45800</v>
      </c>
      <c r="R1458" s="1">
        <v>45804</v>
      </c>
      <c r="S1458" t="s">
        <v>2923</v>
      </c>
    </row>
    <row r="1459" spans="1:19" x14ac:dyDescent="0.3">
      <c r="A1459" s="9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 s="5">
        <v>0.15</v>
      </c>
      <c r="I1459" t="s">
        <v>37</v>
      </c>
      <c r="J1459" s="7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1">
        <v>44928</v>
      </c>
      <c r="R1459" s="1">
        <v>44938</v>
      </c>
      <c r="S1459" t="s">
        <v>2923</v>
      </c>
    </row>
    <row r="1460" spans="1:19" x14ac:dyDescent="0.3">
      <c r="A1460" s="9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 s="5">
        <v>0</v>
      </c>
      <c r="I1460" t="s">
        <v>42</v>
      </c>
      <c r="J1460" s="7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1">
        <v>45218</v>
      </c>
      <c r="R1460" s="1">
        <v>45227</v>
      </c>
      <c r="S1460" t="s">
        <v>2924</v>
      </c>
    </row>
    <row r="1461" spans="1:19" x14ac:dyDescent="0.3">
      <c r="A1461" s="9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 s="5">
        <v>0</v>
      </c>
      <c r="I1461" t="s">
        <v>38</v>
      </c>
      <c r="J1461" s="7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1">
        <v>45772</v>
      </c>
      <c r="R1461" s="1">
        <v>45778</v>
      </c>
      <c r="S1461" t="s">
        <v>2926</v>
      </c>
    </row>
    <row r="1462" spans="1:19" x14ac:dyDescent="0.3">
      <c r="A1462" s="9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 s="5">
        <v>0</v>
      </c>
      <c r="I1462" t="s">
        <v>39</v>
      </c>
      <c r="J1462" s="7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1">
        <v>45382</v>
      </c>
      <c r="R1462" s="1">
        <v>45386</v>
      </c>
      <c r="S1462" t="s">
        <v>2925</v>
      </c>
    </row>
    <row r="1463" spans="1:19" x14ac:dyDescent="0.3">
      <c r="A1463" s="9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 s="5">
        <v>0.15</v>
      </c>
      <c r="I1463" t="s">
        <v>40</v>
      </c>
      <c r="J1463" s="7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1">
        <v>45688</v>
      </c>
      <c r="R1463" s="1">
        <v>45695</v>
      </c>
      <c r="S1463" t="s">
        <v>2924</v>
      </c>
    </row>
    <row r="1464" spans="1:19" x14ac:dyDescent="0.3">
      <c r="A1464" s="9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 s="5">
        <v>0.05</v>
      </c>
      <c r="I1464" t="s">
        <v>37</v>
      </c>
      <c r="J1464" s="7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1">
        <v>45743</v>
      </c>
      <c r="R1464" s="1">
        <v>45753</v>
      </c>
      <c r="S1464" t="s">
        <v>2922</v>
      </c>
    </row>
    <row r="1465" spans="1:19" x14ac:dyDescent="0.3">
      <c r="A1465" s="9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 s="5">
        <v>0</v>
      </c>
      <c r="I1465" t="s">
        <v>41</v>
      </c>
      <c r="J1465" s="7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1">
        <v>45676</v>
      </c>
      <c r="R1465" s="1">
        <v>45681</v>
      </c>
      <c r="S1465" t="s">
        <v>2925</v>
      </c>
    </row>
    <row r="1466" spans="1:19" x14ac:dyDescent="0.3">
      <c r="A1466" s="9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 s="5">
        <v>0.1</v>
      </c>
      <c r="I1466" t="s">
        <v>42</v>
      </c>
      <c r="J1466" s="7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1">
        <v>45428</v>
      </c>
      <c r="R1466" s="1">
        <v>45433</v>
      </c>
      <c r="S1466" t="s">
        <v>2924</v>
      </c>
    </row>
    <row r="1467" spans="1:19" x14ac:dyDescent="0.3">
      <c r="A1467" s="9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 s="5">
        <v>0</v>
      </c>
      <c r="I1467" t="s">
        <v>42</v>
      </c>
      <c r="J1467" s="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1">
        <v>45173</v>
      </c>
      <c r="R1467" s="1">
        <v>45175</v>
      </c>
      <c r="S1467" t="s">
        <v>2925</v>
      </c>
    </row>
    <row r="1468" spans="1:19" x14ac:dyDescent="0.3">
      <c r="A1468" s="9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 s="5">
        <v>0.15</v>
      </c>
      <c r="I1468" t="s">
        <v>38</v>
      </c>
      <c r="J1468" s="7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1">
        <v>45277</v>
      </c>
      <c r="R1468" s="1">
        <v>45283</v>
      </c>
      <c r="S1468" t="s">
        <v>2923</v>
      </c>
    </row>
    <row r="1469" spans="1:19" x14ac:dyDescent="0.3">
      <c r="A1469" s="9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 s="5">
        <v>0.05</v>
      </c>
      <c r="I1469" t="s">
        <v>38</v>
      </c>
      <c r="J1469" s="7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1">
        <v>45306</v>
      </c>
      <c r="R1469" s="1">
        <v>45312</v>
      </c>
      <c r="S1469" t="s">
        <v>2925</v>
      </c>
    </row>
    <row r="1470" spans="1:19" x14ac:dyDescent="0.3">
      <c r="A1470" s="9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 s="5">
        <v>0</v>
      </c>
      <c r="I1470" t="s">
        <v>39</v>
      </c>
      <c r="J1470" s="7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1">
        <v>45645</v>
      </c>
      <c r="R1470" s="1">
        <v>45655</v>
      </c>
      <c r="S1470" t="s">
        <v>2925</v>
      </c>
    </row>
    <row r="1471" spans="1:19" x14ac:dyDescent="0.3">
      <c r="A1471" s="9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 s="5">
        <v>0</v>
      </c>
      <c r="I1471" t="s">
        <v>42</v>
      </c>
      <c r="J1471" s="7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1">
        <v>45276</v>
      </c>
      <c r="R1471" s="1">
        <v>45278</v>
      </c>
      <c r="S1471" t="s">
        <v>2924</v>
      </c>
    </row>
    <row r="1472" spans="1:19" x14ac:dyDescent="0.3">
      <c r="A1472" s="9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 s="5">
        <v>0.05</v>
      </c>
      <c r="I1472" t="s">
        <v>38</v>
      </c>
      <c r="J1472" s="7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1">
        <v>45791</v>
      </c>
      <c r="R1472" s="1">
        <v>45795</v>
      </c>
      <c r="S1472" t="s">
        <v>2925</v>
      </c>
    </row>
    <row r="1473" spans="1:19" x14ac:dyDescent="0.3">
      <c r="A1473" s="9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 s="5">
        <v>0</v>
      </c>
      <c r="I1473" t="s">
        <v>41</v>
      </c>
      <c r="J1473" s="7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1">
        <v>45107</v>
      </c>
      <c r="R1473" s="1">
        <v>45109</v>
      </c>
      <c r="S1473" t="s">
        <v>2923</v>
      </c>
    </row>
    <row r="1474" spans="1:19" x14ac:dyDescent="0.3">
      <c r="A1474" s="9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 s="5">
        <v>0.1</v>
      </c>
      <c r="I1474" t="s">
        <v>41</v>
      </c>
      <c r="J1474" s="7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1">
        <v>45838</v>
      </c>
      <c r="R1474" s="1">
        <v>45845</v>
      </c>
      <c r="S1474" t="s">
        <v>2923</v>
      </c>
    </row>
    <row r="1475" spans="1:19" x14ac:dyDescent="0.3">
      <c r="A1475" s="9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 s="5">
        <v>0.15</v>
      </c>
      <c r="I1475" t="s">
        <v>37</v>
      </c>
      <c r="J1475" s="7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1">
        <v>45730</v>
      </c>
      <c r="R1475" s="1">
        <v>45738</v>
      </c>
      <c r="S1475" t="s">
        <v>2925</v>
      </c>
    </row>
    <row r="1476" spans="1:19" x14ac:dyDescent="0.3">
      <c r="A1476" s="9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 s="5">
        <v>0.15</v>
      </c>
      <c r="I1476" t="s">
        <v>37</v>
      </c>
      <c r="J1476" s="7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1">
        <v>45034</v>
      </c>
      <c r="R1476" s="1">
        <v>45043</v>
      </c>
      <c r="S1476" t="s">
        <v>2923</v>
      </c>
    </row>
    <row r="1477" spans="1:19" x14ac:dyDescent="0.3">
      <c r="A1477" s="9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 s="5">
        <v>0.15</v>
      </c>
      <c r="I1477" t="s">
        <v>39</v>
      </c>
      <c r="J1477" s="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1">
        <v>45546</v>
      </c>
      <c r="R1477" s="1">
        <v>45554</v>
      </c>
      <c r="S1477" t="s">
        <v>2926</v>
      </c>
    </row>
    <row r="1478" spans="1:19" x14ac:dyDescent="0.3">
      <c r="A1478" s="9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 s="5">
        <v>0</v>
      </c>
      <c r="I1478" t="s">
        <v>40</v>
      </c>
      <c r="J1478" s="7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1">
        <v>45251</v>
      </c>
      <c r="R1478" s="1">
        <v>45258</v>
      </c>
      <c r="S1478" t="s">
        <v>2925</v>
      </c>
    </row>
    <row r="1479" spans="1:19" x14ac:dyDescent="0.3">
      <c r="A1479" s="9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 s="5">
        <v>0.05</v>
      </c>
      <c r="I1479" t="s">
        <v>38</v>
      </c>
      <c r="J1479" s="7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1">
        <v>45351</v>
      </c>
      <c r="R1479" s="1">
        <v>45358</v>
      </c>
      <c r="S1479" t="s">
        <v>2926</v>
      </c>
    </row>
    <row r="1480" spans="1:19" x14ac:dyDescent="0.3">
      <c r="A1480" s="9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 s="5">
        <v>0.05</v>
      </c>
      <c r="I1480" t="s">
        <v>42</v>
      </c>
      <c r="J1480" s="7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1">
        <v>45057</v>
      </c>
      <c r="R1480" s="1">
        <v>45061</v>
      </c>
      <c r="S1480" t="s">
        <v>2926</v>
      </c>
    </row>
    <row r="1481" spans="1:19" x14ac:dyDescent="0.3">
      <c r="A1481" s="9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 s="5">
        <v>0</v>
      </c>
      <c r="I1481" t="s">
        <v>41</v>
      </c>
      <c r="J1481" s="7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1">
        <v>45546</v>
      </c>
      <c r="R1481" s="1">
        <v>45555</v>
      </c>
      <c r="S1481" t="s">
        <v>2923</v>
      </c>
    </row>
    <row r="1482" spans="1:19" x14ac:dyDescent="0.3">
      <c r="A1482" s="9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 s="5">
        <v>0.1</v>
      </c>
      <c r="I1482" t="s">
        <v>38</v>
      </c>
      <c r="J1482" s="7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1">
        <v>45520</v>
      </c>
      <c r="R1482" s="1">
        <v>45526</v>
      </c>
      <c r="S1482" t="s">
        <v>2926</v>
      </c>
    </row>
    <row r="1483" spans="1:19" x14ac:dyDescent="0.3">
      <c r="A1483" s="9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 s="5">
        <v>0.05</v>
      </c>
      <c r="I1483" t="s">
        <v>42</v>
      </c>
      <c r="J1483" s="7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1">
        <v>45807</v>
      </c>
      <c r="R1483" s="1">
        <v>45815</v>
      </c>
      <c r="S1483" t="s">
        <v>2924</v>
      </c>
    </row>
    <row r="1484" spans="1:19" x14ac:dyDescent="0.3">
      <c r="A1484" s="9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 s="5">
        <v>0.1</v>
      </c>
      <c r="I1484" t="s">
        <v>39</v>
      </c>
      <c r="J1484" s="7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1">
        <v>45160</v>
      </c>
      <c r="R1484" s="1">
        <v>45166</v>
      </c>
      <c r="S1484" t="s">
        <v>2922</v>
      </c>
    </row>
    <row r="1485" spans="1:19" x14ac:dyDescent="0.3">
      <c r="A1485" s="9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 s="5">
        <v>0.05</v>
      </c>
      <c r="I1485" t="s">
        <v>40</v>
      </c>
      <c r="J1485" s="7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1">
        <v>45314</v>
      </c>
      <c r="R1485" s="1">
        <v>45316</v>
      </c>
      <c r="S1485" t="s">
        <v>2922</v>
      </c>
    </row>
    <row r="1486" spans="1:19" x14ac:dyDescent="0.3">
      <c r="A1486" s="9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 s="5">
        <v>0.15</v>
      </c>
      <c r="I1486" t="s">
        <v>41</v>
      </c>
      <c r="J1486" s="7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1">
        <v>45001</v>
      </c>
      <c r="R1486" s="1">
        <v>45008</v>
      </c>
      <c r="S1486" t="s">
        <v>2924</v>
      </c>
    </row>
    <row r="1487" spans="1:19" x14ac:dyDescent="0.3">
      <c r="A1487" s="9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 s="5">
        <v>0</v>
      </c>
      <c r="I1487" t="s">
        <v>38</v>
      </c>
      <c r="J1487" s="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1">
        <v>45793</v>
      </c>
      <c r="R1487" s="1">
        <v>45798</v>
      </c>
      <c r="S1487" t="s">
        <v>2923</v>
      </c>
    </row>
    <row r="1488" spans="1:19" x14ac:dyDescent="0.3">
      <c r="A1488" s="9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 s="5">
        <v>0</v>
      </c>
      <c r="I1488" t="s">
        <v>38</v>
      </c>
      <c r="J1488" s="7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1">
        <v>45069</v>
      </c>
      <c r="R1488" s="1">
        <v>45075</v>
      </c>
      <c r="S1488" t="s">
        <v>2922</v>
      </c>
    </row>
    <row r="1489" spans="1:19" x14ac:dyDescent="0.3">
      <c r="A1489" s="9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 s="5">
        <v>0</v>
      </c>
      <c r="I1489" t="s">
        <v>40</v>
      </c>
      <c r="J1489" s="7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1">
        <v>45459</v>
      </c>
      <c r="R1489" s="1">
        <v>45466</v>
      </c>
      <c r="S1489" t="s">
        <v>2924</v>
      </c>
    </row>
    <row r="1490" spans="1:19" x14ac:dyDescent="0.3">
      <c r="A1490" s="9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 s="5">
        <v>0.05</v>
      </c>
      <c r="I1490" t="s">
        <v>39</v>
      </c>
      <c r="J1490" s="7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1">
        <v>45685</v>
      </c>
      <c r="R1490" s="1">
        <v>45692</v>
      </c>
      <c r="S1490" t="s">
        <v>2925</v>
      </c>
    </row>
    <row r="1491" spans="1:19" x14ac:dyDescent="0.3">
      <c r="A1491" s="9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 s="5">
        <v>0.1</v>
      </c>
      <c r="I1491" t="s">
        <v>41</v>
      </c>
      <c r="J1491" s="7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1">
        <v>45623</v>
      </c>
      <c r="R1491" s="1">
        <v>45633</v>
      </c>
      <c r="S1491" t="s">
        <v>2923</v>
      </c>
    </row>
    <row r="1492" spans="1:19" x14ac:dyDescent="0.3">
      <c r="A1492" s="9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 s="5">
        <v>0.1</v>
      </c>
      <c r="I1492" t="s">
        <v>37</v>
      </c>
      <c r="J1492" s="7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1">
        <v>45208</v>
      </c>
      <c r="R1492" s="1">
        <v>45210</v>
      </c>
      <c r="S1492" t="s">
        <v>2925</v>
      </c>
    </row>
    <row r="1493" spans="1:19" x14ac:dyDescent="0.3">
      <c r="A1493" s="9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 s="5">
        <v>0.05</v>
      </c>
      <c r="I1493" t="s">
        <v>42</v>
      </c>
      <c r="J1493" s="7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1">
        <v>45494</v>
      </c>
      <c r="R1493" s="1">
        <v>45504</v>
      </c>
      <c r="S1493" t="s">
        <v>2926</v>
      </c>
    </row>
    <row r="1494" spans="1:19" x14ac:dyDescent="0.3">
      <c r="A1494" s="9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 s="5">
        <v>0.05</v>
      </c>
      <c r="I1494" t="s">
        <v>41</v>
      </c>
      <c r="J1494" s="7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1">
        <v>45476</v>
      </c>
      <c r="R1494" s="1">
        <v>45480</v>
      </c>
      <c r="S1494" t="s">
        <v>2922</v>
      </c>
    </row>
    <row r="1495" spans="1:19" x14ac:dyDescent="0.3">
      <c r="A1495" s="9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 s="5">
        <v>0</v>
      </c>
      <c r="I1495" t="s">
        <v>41</v>
      </c>
      <c r="J1495" s="7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1">
        <v>45559</v>
      </c>
      <c r="R1495" s="1">
        <v>45567</v>
      </c>
      <c r="S1495" t="s">
        <v>2926</v>
      </c>
    </row>
    <row r="1496" spans="1:19" x14ac:dyDescent="0.3">
      <c r="A1496" s="9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 s="5">
        <v>0</v>
      </c>
      <c r="I1496" t="s">
        <v>40</v>
      </c>
      <c r="J1496" s="7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1">
        <v>45671</v>
      </c>
      <c r="R1496" s="1">
        <v>45678</v>
      </c>
      <c r="S1496" t="s">
        <v>2922</v>
      </c>
    </row>
    <row r="1497" spans="1:19" x14ac:dyDescent="0.3">
      <c r="A1497" s="9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 s="5">
        <v>0.05</v>
      </c>
      <c r="I1497" t="s">
        <v>40</v>
      </c>
      <c r="J1497" s="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1">
        <v>45705</v>
      </c>
      <c r="R1497" s="1">
        <v>45710</v>
      </c>
      <c r="S1497" t="s">
        <v>2926</v>
      </c>
    </row>
    <row r="1498" spans="1:19" x14ac:dyDescent="0.3">
      <c r="A1498" s="9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 s="5">
        <v>0.15</v>
      </c>
      <c r="I1498" t="s">
        <v>39</v>
      </c>
      <c r="J1498" s="7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1">
        <v>45302</v>
      </c>
      <c r="R1498" s="1">
        <v>45308</v>
      </c>
      <c r="S1498" t="s">
        <v>2923</v>
      </c>
    </row>
    <row r="1499" spans="1:19" x14ac:dyDescent="0.3">
      <c r="A1499" s="9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 s="5">
        <v>0</v>
      </c>
      <c r="I1499" t="s">
        <v>37</v>
      </c>
      <c r="J1499" s="7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1">
        <v>45500</v>
      </c>
      <c r="R1499" s="1">
        <v>45507</v>
      </c>
      <c r="S1499" t="s">
        <v>2922</v>
      </c>
    </row>
    <row r="1500" spans="1:19" x14ac:dyDescent="0.3">
      <c r="A1500" s="9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 s="5">
        <v>0.05</v>
      </c>
      <c r="I1500" t="s">
        <v>40</v>
      </c>
      <c r="J1500" s="7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1">
        <v>45629</v>
      </c>
      <c r="R1500" s="1">
        <v>45636</v>
      </c>
      <c r="S1500" t="s">
        <v>2925</v>
      </c>
    </row>
    <row r="1501" spans="1:19" x14ac:dyDescent="0.3">
      <c r="A1501" s="9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 s="5">
        <v>0</v>
      </c>
      <c r="I1501" t="s">
        <v>39</v>
      </c>
      <c r="J1501" s="7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1">
        <v>45786</v>
      </c>
      <c r="R1501" s="1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The most successful salesperson</vt:lpstr>
      <vt:lpstr>Average check by payment method</vt:lpstr>
      <vt:lpstr>Sales dynamics</vt:lpstr>
      <vt:lpstr>Wholesale and retail customers </vt:lpstr>
      <vt:lpstr>Total price and shipping cost</vt:lpstr>
      <vt:lpstr>Shipping cost distribution</vt:lpstr>
      <vt:lpstr>Delivery time by region</vt:lpstr>
      <vt:lpstr>Rozrahunky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Daria Kiriukhina</cp:lastModifiedBy>
  <dcterms:created xsi:type="dcterms:W3CDTF">2025-06-21T13:19:11Z</dcterms:created>
  <dcterms:modified xsi:type="dcterms:W3CDTF">2026-08-25T16:00:36Z</dcterms:modified>
</cp:coreProperties>
</file>